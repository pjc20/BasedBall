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ode\BasedBall\"/>
    </mc:Choice>
  </mc:AlternateContent>
  <xr:revisionPtr revIDLastSave="0" documentId="13_ncr:1_{AF1B9A21-D788-4860-9801-CC44296A1FA7}" xr6:coauthVersionLast="47" xr6:coauthVersionMax="47" xr10:uidLastSave="{00000000-0000-0000-0000-000000000000}"/>
  <bookViews>
    <workbookView xWindow="-110" yWindow="-110" windowWidth="38620" windowHeight="21100" activeTab="1" xr2:uid="{153B77B1-3DED-4C39-A724-8EBE9B29A37F}"/>
  </bookViews>
  <sheets>
    <sheet name="Standings" sheetId="8" r:id="rId1"/>
    <sheet name="Graphs" sheetId="21" r:id="rId2"/>
    <sheet name="Table 0" sheetId="22" state="hidden" r:id="rId3"/>
    <sheet name="simOutput" sheetId="19" state="hidden" r:id="rId4"/>
    <sheet name="multiSimOutput" sheetId="20" state="hidden" r:id="rId5"/>
  </sheets>
  <definedNames>
    <definedName name="ExternalData_1" localSheetId="4" hidden="1">multiSimOutput!$A$1:$AE$44</definedName>
    <definedName name="ExternalData_1" localSheetId="3" hidden="1">simOutput!$A$1:$E$31</definedName>
    <definedName name="ExternalData_1" localSheetId="2" hidden="1">'Table 0'!$B$1:$Q$32</definedName>
    <definedName name="FilePath">simOutput!$G$1</definedName>
    <definedName name="simOutputPath">simOutput!$G$1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2" l="1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R2" i="22"/>
  <c r="R3" i="22"/>
  <c r="R4" i="22"/>
  <c r="R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G1" i="19" a="1"/>
  <c r="G1" i="19" s="1"/>
  <c r="P19" i="8"/>
  <c r="M33" i="8"/>
  <c r="K22" i="8"/>
  <c r="K23" i="8"/>
  <c r="K24" i="8"/>
  <c r="K20" i="8"/>
  <c r="K21" i="8"/>
  <c r="K29" i="8"/>
  <c r="K26" i="8"/>
  <c r="K27" i="8"/>
  <c r="K28" i="8"/>
  <c r="K30" i="8"/>
  <c r="K31" i="8"/>
  <c r="K32" i="8"/>
  <c r="K25" i="8"/>
  <c r="K34" i="8"/>
  <c r="K33" i="8"/>
  <c r="K5" i="8"/>
  <c r="K3" i="8"/>
  <c r="K4" i="8"/>
  <c r="K7" i="8"/>
  <c r="K11" i="8"/>
  <c r="K10" i="8"/>
  <c r="K9" i="8"/>
  <c r="K8" i="8"/>
  <c r="K14" i="8"/>
  <c r="K12" i="8"/>
  <c r="K6" i="8"/>
  <c r="K15" i="8"/>
  <c r="K13" i="8"/>
  <c r="K16" i="8"/>
  <c r="K17" i="8"/>
  <c r="D22" i="8"/>
  <c r="D23" i="8"/>
  <c r="D24" i="8"/>
  <c r="D20" i="8"/>
  <c r="D21" i="8"/>
  <c r="D29" i="8"/>
  <c r="D26" i="8"/>
  <c r="D27" i="8"/>
  <c r="D28" i="8"/>
  <c r="D30" i="8"/>
  <c r="D31" i="8"/>
  <c r="D32" i="8"/>
  <c r="D25" i="8"/>
  <c r="D34" i="8"/>
  <c r="D33" i="8"/>
  <c r="C22" i="8"/>
  <c r="C23" i="8"/>
  <c r="C24" i="8"/>
  <c r="C20" i="8"/>
  <c r="C21" i="8"/>
  <c r="C29" i="8"/>
  <c r="C26" i="8"/>
  <c r="C27" i="8"/>
  <c r="C28" i="8"/>
  <c r="C30" i="8"/>
  <c r="C31" i="8"/>
  <c r="C32" i="8"/>
  <c r="C25" i="8"/>
  <c r="C34" i="8"/>
  <c r="C33" i="8"/>
  <c r="M22" i="8"/>
  <c r="M23" i="8"/>
  <c r="M24" i="8"/>
  <c r="M20" i="8"/>
  <c r="M21" i="8"/>
  <c r="M29" i="8"/>
  <c r="M26" i="8"/>
  <c r="M27" i="8"/>
  <c r="M28" i="8"/>
  <c r="M30" i="8"/>
  <c r="M31" i="8"/>
  <c r="M32" i="8"/>
  <c r="M25" i="8"/>
  <c r="M34" i="8"/>
  <c r="M5" i="8"/>
  <c r="M3" i="8"/>
  <c r="M4" i="8"/>
  <c r="M7" i="8"/>
  <c r="M11" i="8"/>
  <c r="M10" i="8"/>
  <c r="M9" i="8"/>
  <c r="M8" i="8"/>
  <c r="M14" i="8"/>
  <c r="M12" i="8"/>
  <c r="M6" i="8"/>
  <c r="M15" i="8"/>
  <c r="M13" i="8"/>
  <c r="M16" i="8"/>
  <c r="M17" i="8"/>
  <c r="D5" i="8"/>
  <c r="D3" i="8"/>
  <c r="D4" i="8"/>
  <c r="D7" i="8"/>
  <c r="D11" i="8"/>
  <c r="D10" i="8"/>
  <c r="D9" i="8"/>
  <c r="D8" i="8"/>
  <c r="D14" i="8"/>
  <c r="D12" i="8"/>
  <c r="D6" i="8"/>
  <c r="D15" i="8"/>
  <c r="D13" i="8"/>
  <c r="D16" i="8"/>
  <c r="D17" i="8"/>
  <c r="C5" i="8"/>
  <c r="C3" i="8"/>
  <c r="C4" i="8"/>
  <c r="C7" i="8"/>
  <c r="C11" i="8"/>
  <c r="C10" i="8"/>
  <c r="C9" i="8"/>
  <c r="C8" i="8"/>
  <c r="C14" i="8"/>
  <c r="C12" i="8"/>
  <c r="C6" i="8"/>
  <c r="C15" i="8"/>
  <c r="C13" i="8"/>
  <c r="C16" i="8"/>
  <c r="C17" i="8"/>
  <c r="J3" i="8" l="1"/>
  <c r="J9" i="8"/>
  <c r="J5" i="8"/>
  <c r="J11" i="8"/>
  <c r="J4" i="8"/>
  <c r="J21" i="8"/>
  <c r="J13" i="8"/>
  <c r="J7" i="8"/>
  <c r="J20" i="8"/>
  <c r="L22" i="8"/>
  <c r="J17" i="8"/>
  <c r="J33" i="8"/>
  <c r="J16" i="8"/>
  <c r="J34" i="8"/>
  <c r="J15" i="8"/>
  <c r="J22" i="8"/>
  <c r="J27" i="8"/>
  <c r="J12" i="8"/>
  <c r="J28" i="8"/>
  <c r="J14" i="8"/>
  <c r="J23" i="8"/>
  <c r="J30" i="8"/>
  <c r="J32" i="8"/>
  <c r="J8" i="8"/>
  <c r="L29" i="8"/>
  <c r="J31" i="8"/>
  <c r="J6" i="8"/>
  <c r="J25" i="8"/>
  <c r="J26" i="8"/>
  <c r="J10" i="8"/>
  <c r="J29" i="8"/>
  <c r="J24" i="8"/>
  <c r="L5" i="8"/>
  <c r="L33" i="8"/>
  <c r="L17" i="8"/>
  <c r="N17" i="8" s="1"/>
  <c r="L34" i="8"/>
  <c r="L16" i="8"/>
  <c r="L30" i="8"/>
  <c r="L15" i="8"/>
  <c r="L27" i="8"/>
  <c r="L13" i="8"/>
  <c r="L28" i="8"/>
  <c r="L12" i="8"/>
  <c r="L32" i="8"/>
  <c r="L14" i="8"/>
  <c r="L31" i="8"/>
  <c r="L8" i="8"/>
  <c r="L25" i="8"/>
  <c r="L6" i="8"/>
  <c r="L26" i="8"/>
  <c r="L9" i="8"/>
  <c r="L10" i="8"/>
  <c r="L24" i="8"/>
  <c r="L11" i="8"/>
  <c r="L21" i="8"/>
  <c r="L7" i="8"/>
  <c r="L23" i="8"/>
  <c r="L4" i="8"/>
  <c r="L20" i="8"/>
  <c r="L3" i="8"/>
  <c r="F30" i="8"/>
  <c r="G30" i="8" s="1"/>
  <c r="F5" i="8"/>
  <c r="N33" i="8" l="1"/>
  <c r="N34" i="8"/>
  <c r="N26" i="8"/>
  <c r="N16" i="8"/>
  <c r="N3" i="8"/>
  <c r="N24" i="8"/>
  <c r="N25" i="8"/>
  <c r="N20" i="8"/>
  <c r="N6" i="8"/>
  <c r="N21" i="8"/>
  <c r="N7" i="8"/>
  <c r="N27" i="8"/>
  <c r="N22" i="8"/>
  <c r="N23" i="8"/>
  <c r="N13" i="8"/>
  <c r="N28" i="8"/>
  <c r="N32" i="8"/>
  <c r="N29" i="8"/>
  <c r="N30" i="8"/>
  <c r="N10" i="8"/>
  <c r="N31" i="8"/>
  <c r="N4" i="8"/>
  <c r="N14" i="8"/>
  <c r="N15" i="8"/>
  <c r="N5" i="8"/>
  <c r="N9" i="8"/>
  <c r="N11" i="8"/>
  <c r="N12" i="8"/>
  <c r="N8" i="8"/>
  <c r="E5" i="8"/>
  <c r="E30" i="8"/>
  <c r="G5" i="8"/>
  <c r="F32" i="8"/>
  <c r="E32" i="8" s="1"/>
  <c r="F20" i="8"/>
  <c r="E20" i="8" s="1"/>
  <c r="F26" i="8"/>
  <c r="E26" i="8" s="1"/>
  <c r="F33" i="8"/>
  <c r="E33" i="8" s="1"/>
  <c r="F25" i="8"/>
  <c r="E25" i="8" s="1"/>
  <c r="F23" i="8"/>
  <c r="E23" i="8" s="1"/>
  <c r="F28" i="8"/>
  <c r="E28" i="8" s="1"/>
  <c r="F27" i="8"/>
  <c r="E27" i="8" s="1"/>
  <c r="F29" i="8"/>
  <c r="E29" i="8" s="1"/>
  <c r="F24" i="8"/>
  <c r="E24" i="8" s="1"/>
  <c r="F31" i="8"/>
  <c r="E31" i="8" s="1"/>
  <c r="F34" i="8"/>
  <c r="E34" i="8" s="1"/>
  <c r="F21" i="8"/>
  <c r="E21" i="8" s="1"/>
  <c r="F6" i="8"/>
  <c r="E6" i="8" s="1"/>
  <c r="F22" i="8"/>
  <c r="E22" i="8" s="1"/>
  <c r="F15" i="8"/>
  <c r="E15" i="8" s="1"/>
  <c r="F11" i="8"/>
  <c r="E11" i="8" s="1"/>
  <c r="F9" i="8"/>
  <c r="E9" i="8" s="1"/>
  <c r="F13" i="8"/>
  <c r="E13" i="8" s="1"/>
  <c r="F16" i="8"/>
  <c r="E16" i="8" s="1"/>
  <c r="F17" i="8"/>
  <c r="E17" i="8" s="1"/>
  <c r="F8" i="8"/>
  <c r="E8" i="8" s="1"/>
  <c r="F10" i="8"/>
  <c r="E10" i="8" s="1"/>
  <c r="F14" i="8"/>
  <c r="E14" i="8" s="1"/>
  <c r="F12" i="8"/>
  <c r="E12" i="8" s="1"/>
  <c r="F4" i="8"/>
  <c r="E4" i="8" s="1"/>
  <c r="F3" i="8"/>
  <c r="E3" i="8" s="1"/>
  <c r="F7" i="8"/>
  <c r="E7" i="8" s="1"/>
  <c r="H3" i="8" l="1"/>
  <c r="H23" i="8"/>
  <c r="H7" i="8"/>
  <c r="H21" i="8"/>
  <c r="H24" i="8"/>
  <c r="H29" i="8"/>
  <c r="H22" i="8"/>
  <c r="H34" i="8"/>
  <c r="H4" i="8"/>
  <c r="H12" i="8"/>
  <c r="H31" i="8"/>
  <c r="H27" i="8"/>
  <c r="H10" i="8"/>
  <c r="H28" i="8"/>
  <c r="H25" i="8"/>
  <c r="H33" i="8"/>
  <c r="H26" i="8"/>
  <c r="H16" i="8"/>
  <c r="H9" i="8"/>
  <c r="H20" i="8"/>
  <c r="H8" i="8"/>
  <c r="H11" i="8"/>
  <c r="H32" i="8"/>
  <c r="H17" i="8"/>
  <c r="H13" i="8"/>
  <c r="H15" i="8"/>
  <c r="H30" i="8"/>
  <c r="H14" i="8"/>
  <c r="H6" i="8"/>
  <c r="H5" i="8"/>
  <c r="P9" i="8"/>
  <c r="G23" i="8"/>
  <c r="G26" i="8"/>
  <c r="G7" i="8"/>
  <c r="G34" i="8"/>
  <c r="G33" i="8"/>
  <c r="G15" i="8"/>
  <c r="G22" i="8"/>
  <c r="G3" i="8"/>
  <c r="G4" i="8"/>
  <c r="G21" i="8"/>
  <c r="G31" i="8"/>
  <c r="G24" i="8"/>
  <c r="G13" i="8"/>
  <c r="G27" i="8"/>
  <c r="G25" i="8"/>
  <c r="G20" i="8"/>
  <c r="G32" i="8"/>
  <c r="G6" i="8"/>
  <c r="G12" i="8"/>
  <c r="G14" i="8"/>
  <c r="G8" i="8"/>
  <c r="G17" i="8"/>
  <c r="G16" i="8"/>
  <c r="G29" i="8"/>
  <c r="G28" i="8"/>
  <c r="G11" i="8"/>
  <c r="G9" i="8"/>
  <c r="G10" i="8"/>
  <c r="P17" i="8"/>
  <c r="O20" i="8" s="1"/>
  <c r="T6" i="8" l="1" a="1"/>
  <c r="T6" i="8" s="1"/>
  <c r="P18" i="8"/>
  <c r="Q17" i="8"/>
  <c r="P28" i="8"/>
  <c r="Q28" i="8" s="1" a="1"/>
  <c r="Q28" i="8" s="1"/>
  <c r="P27" i="8"/>
  <c r="Q27" i="8" s="1" a="1"/>
  <c r="Q27" i="8" s="1"/>
  <c r="P10" i="8"/>
  <c r="Q10" i="8" s="1" a="1"/>
  <c r="Q10" i="8" s="1"/>
  <c r="Q9" i="8" a="1"/>
  <c r="Q9" i="8" s="1"/>
  <c r="P11" i="8"/>
  <c r="Q11" i="8" s="1" a="1"/>
  <c r="Q11" i="8" s="1"/>
  <c r="P26" i="8"/>
  <c r="Q26" i="8" s="1" a="1"/>
  <c r="Q26" i="8" s="1"/>
  <c r="T20" i="8" l="1"/>
  <c r="U19" i="8" s="1"/>
  <c r="T5" i="8"/>
  <c r="W2" i="8" s="1"/>
  <c r="T4" i="8"/>
  <c r="V2" i="8" s="1"/>
  <c r="T22" i="8"/>
  <c r="W19" i="8" s="1"/>
  <c r="T21" i="8"/>
  <c r="T3" i="8"/>
  <c r="U2" i="8" s="1"/>
  <c r="X2" i="8" l="1"/>
  <c r="X5" i="8" s="1"/>
  <c r="T10" i="8" a="1"/>
  <c r="T10" i="8" s="1"/>
  <c r="AB2" i="8" s="1"/>
  <c r="AB3" i="8" s="1"/>
  <c r="T34" i="8" a="1"/>
  <c r="T34" i="8" s="1"/>
  <c r="AI19" i="8" s="1"/>
  <c r="AI22" i="8" s="1"/>
  <c r="T8" i="8" a="1"/>
  <c r="T8" i="8" s="1"/>
  <c r="Z2" i="8" s="1"/>
  <c r="T15" i="8" a="1"/>
  <c r="T15" i="8" s="1"/>
  <c r="AG2" i="8" s="1"/>
  <c r="AG5" i="8" s="1"/>
  <c r="T14" i="8" a="1"/>
  <c r="T14" i="8" s="1"/>
  <c r="AF2" i="8" s="1"/>
  <c r="AF5" i="8" s="1"/>
  <c r="T13" i="8" a="1"/>
  <c r="T13" i="8" s="1"/>
  <c r="AE2" i="8" s="1"/>
  <c r="AE3" i="8" s="1"/>
  <c r="T12" i="8" a="1"/>
  <c r="T12" i="8" s="1"/>
  <c r="AD2" i="8" s="1"/>
  <c r="T7" i="8" a="1"/>
  <c r="T7" i="8" s="1"/>
  <c r="Y2" i="8" s="1"/>
  <c r="Y3" i="8" s="1"/>
  <c r="T11" i="8" a="1"/>
  <c r="T11" i="8" s="1"/>
  <c r="AC2" i="8" s="1"/>
  <c r="AC5" i="8" s="1"/>
  <c r="T9" i="8" a="1"/>
  <c r="T9" i="8" s="1"/>
  <c r="AA2" i="8" s="1"/>
  <c r="AA3" i="8" s="1"/>
  <c r="T16" i="8" a="1"/>
  <c r="T16" i="8" s="1"/>
  <c r="AH2" i="8" s="1"/>
  <c r="AH4" i="8" s="1"/>
  <c r="T17" i="8" a="1"/>
  <c r="T17" i="8" s="1"/>
  <c r="AI2" i="8" s="1"/>
  <c r="AI5" i="8" s="1"/>
  <c r="T30" i="8" a="1"/>
  <c r="T30" i="8" s="1"/>
  <c r="U30" i="8" s="1"/>
  <c r="T32" i="8" a="1"/>
  <c r="T32" i="8" s="1"/>
  <c r="AG19" i="8" s="1"/>
  <c r="T28" i="8" a="1"/>
  <c r="T28" i="8" s="1"/>
  <c r="AC19" i="8" s="1"/>
  <c r="AC21" i="8" s="1"/>
  <c r="T29" i="8" a="1"/>
  <c r="T29" i="8" s="1"/>
  <c r="AD19" i="8" s="1"/>
  <c r="AD21" i="8" s="1"/>
  <c r="T27" i="8" a="1"/>
  <c r="T27" i="8" s="1"/>
  <c r="W27" i="8" s="1"/>
  <c r="T33" i="8" a="1"/>
  <c r="T33" i="8" s="1"/>
  <c r="AH19" i="8" s="1"/>
  <c r="AH22" i="8" s="1"/>
  <c r="T23" i="8" a="1"/>
  <c r="T23" i="8" s="1"/>
  <c r="X19" i="8" s="1"/>
  <c r="X22" i="8" s="1"/>
  <c r="T24" i="8" a="1"/>
  <c r="T24" i="8" s="1"/>
  <c r="Y19" i="8" s="1"/>
  <c r="W20" i="8"/>
  <c r="T31" i="8" a="1"/>
  <c r="T31" i="8" s="1"/>
  <c r="AF19" i="8" s="1"/>
  <c r="AF20" i="8" s="1"/>
  <c r="T26" i="8" a="1"/>
  <c r="T26" i="8" s="1"/>
  <c r="AA19" i="8" s="1"/>
  <c r="AA22" i="8" s="1"/>
  <c r="AJ22" i="8" s="1" a="1"/>
  <c r="AJ22" i="8" s="1"/>
  <c r="T25" i="8" a="1"/>
  <c r="T25" i="8" s="1"/>
  <c r="Z19" i="8" s="1"/>
  <c r="Z20" i="8" s="1"/>
  <c r="W21" i="8"/>
  <c r="V19" i="8"/>
  <c r="U21" i="8"/>
  <c r="U5" i="8"/>
  <c r="U4" i="8"/>
  <c r="V5" i="8"/>
  <c r="U22" i="8"/>
  <c r="W4" i="8"/>
  <c r="W3" i="8"/>
  <c r="V3" i="8"/>
  <c r="U9" i="8" l="1"/>
  <c r="AA5" i="8"/>
  <c r="AJ5" i="8" s="1" a="1"/>
  <c r="AJ5" i="8" s="1"/>
  <c r="V9" i="8"/>
  <c r="AA13" i="8"/>
  <c r="AA4" i="8"/>
  <c r="AJ4" i="8" s="1" a="1"/>
  <c r="AJ4" i="8" s="1"/>
  <c r="W9" i="8"/>
  <c r="W16" i="8"/>
  <c r="AH3" i="8"/>
  <c r="V16" i="8"/>
  <c r="AH7" i="8"/>
  <c r="AE7" i="8"/>
  <c r="V7" i="8"/>
  <c r="W10" i="8"/>
  <c r="Z6" i="8"/>
  <c r="AB8" i="8"/>
  <c r="AB16" i="8"/>
  <c r="AB6" i="8"/>
  <c r="AD6" i="8"/>
  <c r="AC6" i="8"/>
  <c r="X3" i="8"/>
  <c r="X9" i="8"/>
  <c r="X16" i="8"/>
  <c r="Y6" i="8"/>
  <c r="AI9" i="8"/>
  <c r="AC8" i="8"/>
  <c r="AD11" i="8"/>
  <c r="X10" i="8"/>
  <c r="W7" i="8"/>
  <c r="V15" i="8"/>
  <c r="AB7" i="8"/>
  <c r="V10" i="8"/>
  <c r="AI16" i="8"/>
  <c r="W11" i="8"/>
  <c r="X15" i="8"/>
  <c r="AB11" i="8"/>
  <c r="AE15" i="8"/>
  <c r="AE6" i="8"/>
  <c r="W6" i="8"/>
  <c r="AB4" i="8"/>
  <c r="AC3" i="8"/>
  <c r="AC16" i="8"/>
  <c r="AC4" i="8"/>
  <c r="V13" i="8"/>
  <c r="AG9" i="8"/>
  <c r="Z10" i="8"/>
  <c r="AJ10" i="8" s="1"/>
  <c r="AH6" i="8"/>
  <c r="AA7" i="8"/>
  <c r="AJ7" i="8" s="1"/>
  <c r="AG16" i="8"/>
  <c r="V8" i="8"/>
  <c r="AC7" i="8"/>
  <c r="U14" i="8"/>
  <c r="AI11" i="8"/>
  <c r="AB9" i="8"/>
  <c r="AF17" i="8"/>
  <c r="Z3" i="8"/>
  <c r="AF16" i="8"/>
  <c r="AB14" i="8"/>
  <c r="U16" i="8"/>
  <c r="AH9" i="8"/>
  <c r="Z14" i="8"/>
  <c r="AJ14" i="8" s="1"/>
  <c r="AG14" i="8"/>
  <c r="AF3" i="8"/>
  <c r="AI6" i="8"/>
  <c r="Y11" i="8"/>
  <c r="AD14" i="8"/>
  <c r="W13" i="8"/>
  <c r="AB15" i="8"/>
  <c r="AI4" i="8"/>
  <c r="X14" i="8"/>
  <c r="W8" i="8"/>
  <c r="AE12" i="8"/>
  <c r="AA15" i="8"/>
  <c r="AD7" i="8"/>
  <c r="AH10" i="8"/>
  <c r="AF4" i="8"/>
  <c r="AF7" i="8"/>
  <c r="AH17" i="8"/>
  <c r="AI15" i="8"/>
  <c r="AH12" i="8"/>
  <c r="X11" i="8"/>
  <c r="W15" i="8"/>
  <c r="U17" i="8"/>
  <c r="AA12" i="8"/>
  <c r="AC17" i="8"/>
  <c r="AC13" i="8"/>
  <c r="AD10" i="8"/>
  <c r="AD13" i="8"/>
  <c r="Z4" i="8"/>
  <c r="AD15" i="8"/>
  <c r="AA14" i="8"/>
  <c r="AE8" i="8"/>
  <c r="AE17" i="8"/>
  <c r="Y8" i="8"/>
  <c r="Z7" i="8"/>
  <c r="U11" i="8"/>
  <c r="AC15" i="8"/>
  <c r="AI12" i="8"/>
  <c r="AF11" i="8"/>
  <c r="Y17" i="8"/>
  <c r="W14" i="8"/>
  <c r="U8" i="8"/>
  <c r="AH8" i="8"/>
  <c r="Y16" i="8"/>
  <c r="AF10" i="8"/>
  <c r="AB5" i="8"/>
  <c r="AH15" i="8"/>
  <c r="V14" i="8"/>
  <c r="W17" i="8"/>
  <c r="V6" i="8"/>
  <c r="V17" i="8"/>
  <c r="U10" i="8"/>
  <c r="AA16" i="8"/>
  <c r="AD17" i="8"/>
  <c r="X8" i="8"/>
  <c r="X4" i="8"/>
  <c r="AD5" i="8"/>
  <c r="AA6" i="8"/>
  <c r="AJ6" i="8" s="1"/>
  <c r="AD3" i="8"/>
  <c r="AC9" i="8"/>
  <c r="U12" i="8"/>
  <c r="AI10" i="8"/>
  <c r="AH11" i="8"/>
  <c r="X13" i="8"/>
  <c r="W12" i="8"/>
  <c r="V12" i="8"/>
  <c r="U6" i="8"/>
  <c r="Z17" i="8"/>
  <c r="AJ17" i="8" s="1"/>
  <c r="AG17" i="8"/>
  <c r="AG11" i="8"/>
  <c r="AF12" i="8"/>
  <c r="AG13" i="8"/>
  <c r="AA11" i="8"/>
  <c r="V11" i="8"/>
  <c r="AF15" i="8"/>
  <c r="AI3" i="8"/>
  <c r="AF6" i="8"/>
  <c r="AH13" i="8"/>
  <c r="AB12" i="8"/>
  <c r="AA17" i="8"/>
  <c r="AE5" i="8"/>
  <c r="AA8" i="8"/>
  <c r="AJ8" i="8" s="1"/>
  <c r="AI14" i="8"/>
  <c r="AC14" i="8"/>
  <c r="AI8" i="8"/>
  <c r="Z13" i="8"/>
  <c r="AJ13" i="8" s="1"/>
  <c r="AE14" i="8"/>
  <c r="AI7" i="8"/>
  <c r="AC12" i="8"/>
  <c r="AE9" i="8"/>
  <c r="AA10" i="8"/>
  <c r="AE11" i="8"/>
  <c r="AD4" i="8"/>
  <c r="AF9" i="8"/>
  <c r="AG8" i="8"/>
  <c r="Z15" i="8"/>
  <c r="AJ15" i="8" s="1"/>
  <c r="AF13" i="8"/>
  <c r="X17" i="8"/>
  <c r="AG7" i="8"/>
  <c r="AE16" i="8"/>
  <c r="Y9" i="8"/>
  <c r="AB17" i="8"/>
  <c r="AD8" i="8"/>
  <c r="Z16" i="8"/>
  <c r="AJ16" i="8" s="1"/>
  <c r="AC10" i="8"/>
  <c r="AH5" i="8"/>
  <c r="AF8" i="8"/>
  <c r="Y10" i="8"/>
  <c r="Y4" i="8"/>
  <c r="Z12" i="8"/>
  <c r="AJ12" i="8" s="1"/>
  <c r="AB13" i="8"/>
  <c r="AG10" i="8"/>
  <c r="U7" i="8"/>
  <c r="AG12" i="8"/>
  <c r="Z9" i="8"/>
  <c r="AJ9" i="8" s="1"/>
  <c r="AD16" i="8"/>
  <c r="Y14" i="8"/>
  <c r="Y12" i="8"/>
  <c r="AG6" i="8"/>
  <c r="AE10" i="8"/>
  <c r="AH14" i="8"/>
  <c r="X7" i="8"/>
  <c r="AI13" i="8"/>
  <c r="Z5" i="8"/>
  <c r="AE4" i="8"/>
  <c r="Y15" i="8"/>
  <c r="U15" i="8"/>
  <c r="AD9" i="8"/>
  <c r="X12" i="8"/>
  <c r="Y5" i="8"/>
  <c r="AG3" i="8"/>
  <c r="AD22" i="8"/>
  <c r="U34" i="8"/>
  <c r="AI20" i="8"/>
  <c r="AG34" i="8"/>
  <c r="AI21" i="8"/>
  <c r="W34" i="8"/>
  <c r="AD34" i="8"/>
  <c r="AG27" i="8"/>
  <c r="AB19" i="8"/>
  <c r="AB29" i="8" s="1"/>
  <c r="U27" i="8"/>
  <c r="AD27" i="8"/>
  <c r="AC22" i="8"/>
  <c r="AI30" i="8"/>
  <c r="W29" i="8"/>
  <c r="U29" i="8"/>
  <c r="X32" i="8"/>
  <c r="AI29" i="8"/>
  <c r="AD30" i="8"/>
  <c r="Z32" i="8"/>
  <c r="AJ32" i="8" s="1"/>
  <c r="AF32" i="8"/>
  <c r="W33" i="8"/>
  <c r="AF29" i="8"/>
  <c r="AH30" i="8"/>
  <c r="U33" i="8"/>
  <c r="AF23" i="8"/>
  <c r="W32" i="8"/>
  <c r="AH29" i="8"/>
  <c r="AI33" i="8"/>
  <c r="Y32" i="8"/>
  <c r="AG4" i="8"/>
  <c r="Y13" i="8"/>
  <c r="Z11" i="8"/>
  <c r="AJ11" i="8" s="1"/>
  <c r="U13" i="8"/>
  <c r="X21" i="8"/>
  <c r="Z30" i="8"/>
  <c r="AJ30" i="8" s="1"/>
  <c r="Y20" i="8"/>
  <c r="AH20" i="8"/>
  <c r="AC25" i="8"/>
  <c r="AI32" i="8"/>
  <c r="Z29" i="8"/>
  <c r="AJ29" i="8" s="1"/>
  <c r="AH34" i="8"/>
  <c r="AI27" i="8"/>
  <c r="U31" i="8"/>
  <c r="W25" i="8"/>
  <c r="AG23" i="8"/>
  <c r="AD31" i="8"/>
  <c r="AH27" i="8"/>
  <c r="Y31" i="8"/>
  <c r="Y28" i="8"/>
  <c r="W28" i="8"/>
  <c r="AI25" i="8"/>
  <c r="AA33" i="8"/>
  <c r="W30" i="8"/>
  <c r="U24" i="8"/>
  <c r="AD32" i="8"/>
  <c r="Z21" i="8"/>
  <c r="AE19" i="8"/>
  <c r="AE26" i="8" s="1"/>
  <c r="AA34" i="8"/>
  <c r="AG20" i="8"/>
  <c r="Y34" i="8"/>
  <c r="AG25" i="8"/>
  <c r="AF27" i="8"/>
  <c r="Z23" i="8"/>
  <c r="X27" i="8"/>
  <c r="W31" i="8"/>
  <c r="AF30" i="8"/>
  <c r="W24" i="8"/>
  <c r="AC31" i="8"/>
  <c r="Z27" i="8"/>
  <c r="AJ27" i="8" s="1"/>
  <c r="AF25" i="8"/>
  <c r="Y33" i="8"/>
  <c r="AD24" i="8"/>
  <c r="Y29" i="8"/>
  <c r="X20" i="8"/>
  <c r="AH28" i="8"/>
  <c r="AI31" i="8"/>
  <c r="AC30" i="8"/>
  <c r="AA24" i="8"/>
  <c r="AJ24" i="8" s="1"/>
  <c r="AF22" i="8"/>
  <c r="AA32" i="8"/>
  <c r="AA28" i="8"/>
  <c r="AH32" i="8"/>
  <c r="AG29" i="8"/>
  <c r="X31" i="8"/>
  <c r="U26" i="8"/>
  <c r="X33" i="8"/>
  <c r="AC24" i="8"/>
  <c r="AC20" i="8"/>
  <c r="AH21" i="8"/>
  <c r="U25" i="8"/>
  <c r="X26" i="8"/>
  <c r="AG30" i="8"/>
  <c r="Y27" i="8"/>
  <c r="AF26" i="8"/>
  <c r="Y21" i="8"/>
  <c r="AC34" i="8"/>
  <c r="AC26" i="8"/>
  <c r="Z26" i="8"/>
  <c r="AJ26" i="8" s="1"/>
  <c r="AI23" i="8"/>
  <c r="Z31" i="8"/>
  <c r="AJ31" i="8" s="1"/>
  <c r="AD33" i="8"/>
  <c r="AF21" i="8"/>
  <c r="U28" i="8"/>
  <c r="Z34" i="8"/>
  <c r="AJ34" i="8" s="1"/>
  <c r="AD20" i="8"/>
  <c r="AD25" i="8"/>
  <c r="AD23" i="8"/>
  <c r="AH23" i="8"/>
  <c r="AI24" i="8"/>
  <c r="W23" i="8"/>
  <c r="AH24" i="8"/>
  <c r="U32" i="8"/>
  <c r="X28" i="8"/>
  <c r="AA23" i="8"/>
  <c r="AJ23" i="8" s="1"/>
  <c r="AG24" i="8"/>
  <c r="Y23" i="8"/>
  <c r="Z22" i="8"/>
  <c r="AF24" i="8"/>
  <c r="AH25" i="8"/>
  <c r="AG33" i="8"/>
  <c r="AG22" i="8"/>
  <c r="AG21" i="8"/>
  <c r="AG28" i="8"/>
  <c r="AC29" i="8"/>
  <c r="AA21" i="8"/>
  <c r="AJ21" i="8" s="1" a="1"/>
  <c r="AJ21" i="8" s="1"/>
  <c r="AC32" i="8"/>
  <c r="X30" i="8"/>
  <c r="AA27" i="8"/>
  <c r="AI26" i="8"/>
  <c r="V24" i="8"/>
  <c r="AC23" i="8"/>
  <c r="Z24" i="8"/>
  <c r="AG31" i="8"/>
  <c r="AI28" i="8"/>
  <c r="AC27" i="8"/>
  <c r="Y26" i="8"/>
  <c r="AH31" i="8"/>
  <c r="W26" i="8"/>
  <c r="U23" i="8"/>
  <c r="X24" i="8"/>
  <c r="AA20" i="8"/>
  <c r="AJ20" i="8" s="1" a="1"/>
  <c r="AJ20" i="8" s="1"/>
  <c r="AF34" i="8"/>
  <c r="Z33" i="8"/>
  <c r="AJ33" i="8" s="1"/>
  <c r="AH26" i="8"/>
  <c r="Y25" i="8"/>
  <c r="AA25" i="8"/>
  <c r="AJ25" i="8" s="1"/>
  <c r="AC33" i="8"/>
  <c r="AA29" i="8"/>
  <c r="X25" i="8"/>
  <c r="AD26" i="8"/>
  <c r="X29" i="8"/>
  <c r="Z28" i="8"/>
  <c r="AJ28" i="8" s="1"/>
  <c r="Y22" i="8"/>
  <c r="AF28" i="8"/>
  <c r="X34" i="8"/>
  <c r="AD28" i="8"/>
  <c r="AF33" i="8"/>
  <c r="Y30" i="8"/>
  <c r="AG26" i="8"/>
  <c r="AA31" i="8"/>
  <c r="AA30" i="8"/>
  <c r="V32" i="8"/>
  <c r="V33" i="8"/>
  <c r="V29" i="8"/>
  <c r="V20" i="8"/>
  <c r="V34" i="8"/>
  <c r="V25" i="8"/>
  <c r="V28" i="8"/>
  <c r="V27" i="8"/>
  <c r="V23" i="8"/>
  <c r="V26" i="8"/>
  <c r="V30" i="8"/>
  <c r="V31" i="8"/>
  <c r="V22" i="8"/>
  <c r="AJ3" i="8" a="1"/>
  <c r="AJ3" i="8" s="1"/>
  <c r="AB34" i="8" l="1"/>
  <c r="AB21" i="8"/>
  <c r="AK14" i="8"/>
  <c r="AK6" i="8"/>
  <c r="AK7" i="8"/>
  <c r="AK17" i="8"/>
  <c r="AK3" i="8"/>
  <c r="AK5" i="8"/>
  <c r="AK16" i="8"/>
  <c r="AK9" i="8"/>
  <c r="AK15" i="8"/>
  <c r="AK8" i="8"/>
  <c r="AB28" i="8"/>
  <c r="AB30" i="8"/>
  <c r="AK30" i="8" s="1"/>
  <c r="AB20" i="8"/>
  <c r="AB25" i="8"/>
  <c r="AE31" i="8"/>
  <c r="AE25" i="8"/>
  <c r="AE22" i="8"/>
  <c r="AE28" i="8"/>
  <c r="AE21" i="8"/>
  <c r="AE29" i="8"/>
  <c r="AK29" i="8" s="1"/>
  <c r="AB26" i="8"/>
  <c r="AK26" i="8" s="1"/>
  <c r="AB24" i="8"/>
  <c r="AB22" i="8"/>
  <c r="AB23" i="8"/>
  <c r="AE34" i="8"/>
  <c r="AB32" i="8"/>
  <c r="AB33" i="8"/>
  <c r="AE33" i="8"/>
  <c r="AB31" i="8"/>
  <c r="AK4" i="8"/>
  <c r="AK10" i="8"/>
  <c r="AK12" i="8"/>
  <c r="AK11" i="8"/>
  <c r="AK13" i="8"/>
  <c r="AE20" i="8"/>
  <c r="AE23" i="8"/>
  <c r="AE32" i="8"/>
  <c r="AE24" i="8"/>
  <c r="AE27" i="8"/>
  <c r="AK27" i="8" s="1"/>
  <c r="AK34" i="8" l="1"/>
  <c r="AK24" i="8"/>
  <c r="AK21" i="8"/>
  <c r="AK31" i="8"/>
  <c r="AK23" i="8"/>
  <c r="AK25" i="8"/>
  <c r="AK28" i="8"/>
  <c r="AK22" i="8"/>
  <c r="AK33" i="8"/>
  <c r="AK32" i="8"/>
  <c r="AK2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70DB69-5290-47C9-AD8E-7B0C37B41306}" keepAlive="1" name="Query - multiSimOutput" description="Connection to the 'multiSimOutput' query in the workbook." type="5" refreshedVersion="8" background="1" saveData="1">
    <dbPr connection="Provider=Microsoft.Mashup.OleDb.1;Data Source=$Workbook$;Location=multiSimOutput;Extended Properties=&quot;&quot;" command="SELECT * FROM [multiSimOutput]"/>
  </connection>
  <connection id="2" xr16:uid="{02015953-9D82-47DF-A44A-3D8C7638C84C}" keepAlive="1" name="Query - simOutput" description="Connection to the 'simOutput' query in the workbook." type="5" refreshedVersion="8" background="1" saveData="1">
    <dbPr connection="Provider=Microsoft.Mashup.OleDb.1;Data Source=$Workbook$;Location=simOutput;Extended Properties=&quot;&quot;" command="SELECT * FROM [simOutput]"/>
  </connection>
  <connection id="3" xr16:uid="{D245C347-FBFF-40B2-BD90-529BA6B4C9B4}" keepAlive="1" name="Query - Table 0" description="Connection to the 'Table 0' query in the workbook." type="5" refreshedVersion="8" background="1" saveData="1">
    <dbPr connection="Provider=Microsoft.Mashup.OleDb.1;Data Source=$Workbook$;Location=&quot;Table 0&quot;;Extended Properties=&quot;&quot;" command="SELECT * FROM [Table 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<sst xmlns="http://schemas.openxmlformats.org/spreadsheetml/2006/main" count="648" uniqueCount="336">
  <si>
    <t>AL East</t>
  </si>
  <si>
    <t>BAL</t>
  </si>
  <si>
    <t>TOR</t>
  </si>
  <si>
    <t>BOS</t>
  </si>
  <si>
    <t>NYY</t>
  </si>
  <si>
    <t>W</t>
  </si>
  <si>
    <t>L</t>
  </si>
  <si>
    <t>%</t>
  </si>
  <si>
    <t>GP</t>
  </si>
  <si>
    <t>GR</t>
  </si>
  <si>
    <t>AL Central</t>
  </si>
  <si>
    <t>AL West</t>
  </si>
  <si>
    <t>NL West</t>
  </si>
  <si>
    <t>NL Central</t>
  </si>
  <si>
    <t>NL East</t>
  </si>
  <si>
    <t>MIN</t>
  </si>
  <si>
    <t>CLE</t>
  </si>
  <si>
    <t>DET</t>
  </si>
  <si>
    <t>HOU</t>
  </si>
  <si>
    <t>SEA</t>
  </si>
  <si>
    <t>TEX</t>
  </si>
  <si>
    <t>LAA</t>
  </si>
  <si>
    <t>OAK</t>
  </si>
  <si>
    <t>ATL</t>
  </si>
  <si>
    <t>PHI</t>
  </si>
  <si>
    <t>MIA</t>
  </si>
  <si>
    <t>NYM</t>
  </si>
  <si>
    <t>LAD</t>
  </si>
  <si>
    <t>ARI</t>
  </si>
  <si>
    <t>COL</t>
  </si>
  <si>
    <t>MIL</t>
  </si>
  <si>
    <t>CHC</t>
  </si>
  <si>
    <t>CIN</t>
  </si>
  <si>
    <t>PIT</t>
  </si>
  <si>
    <t>STL</t>
  </si>
  <si>
    <t>AL</t>
  </si>
  <si>
    <t>AL Leaders</t>
  </si>
  <si>
    <t>Team</t>
  </si>
  <si>
    <t>NL Leaders</t>
  </si>
  <si>
    <t>NL</t>
  </si>
  <si>
    <t>WC Rank</t>
  </si>
  <si>
    <t>Division</t>
  </si>
  <si>
    <t>ALE</t>
  </si>
  <si>
    <t>ALC</t>
  </si>
  <si>
    <t>ALW</t>
  </si>
  <si>
    <t>NLE</t>
  </si>
  <si>
    <t>NLC</t>
  </si>
  <si>
    <t>NLW</t>
  </si>
  <si>
    <t>Tiebreak</t>
  </si>
  <si>
    <t>CHW</t>
  </si>
  <si>
    <t>TBR</t>
  </si>
  <si>
    <t>KCR</t>
  </si>
  <si>
    <t>SDP</t>
  </si>
  <si>
    <t>WSH</t>
  </si>
  <si>
    <t>SFG</t>
  </si>
  <si>
    <t>Column1</t>
  </si>
  <si>
    <t>Column2</t>
  </si>
  <si>
    <t>Column3</t>
  </si>
  <si>
    <t>Column4</t>
  </si>
  <si>
    <t>Column5</t>
  </si>
  <si>
    <t>PCT</t>
  </si>
  <si>
    <t>GB</t>
  </si>
  <si>
    <t>HOME</t>
  </si>
  <si>
    <t>AWAY</t>
  </si>
  <si>
    <t>RS</t>
  </si>
  <si>
    <t>RA</t>
  </si>
  <si>
    <t>DIFF</t>
  </si>
  <si>
    <t>STRK</t>
  </si>
  <si>
    <t>L10</t>
  </si>
  <si>
    <t>-</t>
  </si>
  <si>
    <t>1.5</t>
  </si>
  <si>
    <t>L1</t>
  </si>
  <si>
    <t>W1</t>
  </si>
  <si>
    <t>L3</t>
  </si>
  <si>
    <t>4.5</t>
  </si>
  <si>
    <t>L2</t>
  </si>
  <si>
    <t>2.5</t>
  </si>
  <si>
    <t>Actual GP</t>
  </si>
  <si>
    <t>5-5</t>
  </si>
  <si>
    <t>6-4</t>
  </si>
  <si>
    <t>3-7</t>
  </si>
  <si>
    <t>11-5</t>
  </si>
  <si>
    <t>7-3</t>
  </si>
  <si>
    <t>8-9</t>
  </si>
  <si>
    <t>4-6</t>
  </si>
  <si>
    <t>7-9</t>
  </si>
  <si>
    <t>2-8</t>
  </si>
  <si>
    <t>9-8</t>
  </si>
  <si>
    <t>9-7</t>
  </si>
  <si>
    <t>Rdiff-Sim</t>
  </si>
  <si>
    <t>7-7</t>
  </si>
  <si>
    <t>PS Odds</t>
  </si>
  <si>
    <t>Simulated GP</t>
  </si>
  <si>
    <t>8-8</t>
  </si>
  <si>
    <t>6-9</t>
  </si>
  <si>
    <t>0.5</t>
  </si>
  <si>
    <t>11-7</t>
  </si>
  <si>
    <t>American League</t>
  </si>
  <si>
    <t>WCGB</t>
  </si>
  <si>
    <t>X-W/L</t>
  </si>
  <si>
    <t>&gt;.500</t>
  </si>
  <si>
    <t>Next Game</t>
  </si>
  <si>
    <t>Baltimore Orioles</t>
  </si>
  <si>
    <t>Cleveland Guardians</t>
  </si>
  <si>
    <t>New York Yankees</t>
  </si>
  <si>
    <t>1.0</t>
  </si>
  <si>
    <t>Kansas City Royals</t>
  </si>
  <si>
    <t>Boston Red Sox</t>
  </si>
  <si>
    <t>Detroit Tigers</t>
  </si>
  <si>
    <t>Minnesota Twins</t>
  </si>
  <si>
    <t>3.0</t>
  </si>
  <si>
    <t>Seattle Mariners</t>
  </si>
  <si>
    <t>Texas Rangers</t>
  </si>
  <si>
    <t>Toronto Blue Jays</t>
  </si>
  <si>
    <t>Tampa Bay Rays</t>
  </si>
  <si>
    <t>Oakland Athletics</t>
  </si>
  <si>
    <t>128</t>
  </si>
  <si>
    <t>Los Angeles Angels</t>
  </si>
  <si>
    <t>Houston Astros</t>
  </si>
  <si>
    <t>Chicago White Sox</t>
  </si>
  <si>
    <t>5-11</t>
  </si>
  <si>
    <t>National League</t>
  </si>
  <si>
    <t>Atlanta Braves</t>
  </si>
  <si>
    <t>Philadelphia Phillies</t>
  </si>
  <si>
    <t>Milwaukee Brewers</t>
  </si>
  <si>
    <t>Los Angeles Dodgers</t>
  </si>
  <si>
    <t>Chicago Cubs</t>
  </si>
  <si>
    <t>Cincinnati Reds</t>
  </si>
  <si>
    <t>New York Mets</t>
  </si>
  <si>
    <t>Washington Nationals</t>
  </si>
  <si>
    <t>Pittsburgh Pirates</t>
  </si>
  <si>
    <t>San Francisco Giants</t>
  </si>
  <si>
    <t>St. Louis Cardinals</t>
  </si>
  <si>
    <t>San Diego Padres</t>
  </si>
  <si>
    <t>7-8</t>
  </si>
  <si>
    <t>Arizona Diamondbacks</t>
  </si>
  <si>
    <t>Colorado Rockies</t>
  </si>
  <si>
    <t>Miami Marlins</t>
  </si>
  <si>
    <t>Rdiff-MLB</t>
  </si>
  <si>
    <t>130</t>
  </si>
  <si>
    <t>9-10</t>
  </si>
  <si>
    <t>7.0</t>
  </si>
  <si>
    <t>8-7</t>
  </si>
  <si>
    <t>5-12</t>
  </si>
  <si>
    <t>L4</t>
  </si>
  <si>
    <t>9-11</t>
  </si>
  <si>
    <t>11-8</t>
  </si>
  <si>
    <t>131</t>
  </si>
  <si>
    <t>4-11</t>
  </si>
  <si>
    <t>8-12</t>
  </si>
  <si>
    <t>12-7</t>
  </si>
  <si>
    <t>8-2</t>
  </si>
  <si>
    <t>164</t>
  </si>
  <si>
    <t>123</t>
  </si>
  <si>
    <t>12-8</t>
  </si>
  <si>
    <t>10-9</t>
  </si>
  <si>
    <t>8.0</t>
  </si>
  <si>
    <t>5-15</t>
  </si>
  <si>
    <t>9.0</t>
  </si>
  <si>
    <t>167</t>
  </si>
  <si>
    <t>156</t>
  </si>
  <si>
    <t>152</t>
  </si>
  <si>
    <t>4.0</t>
  </si>
  <si>
    <t>134</t>
  </si>
  <si>
    <t>W5</t>
  </si>
  <si>
    <t>151</t>
  </si>
  <si>
    <t>137</t>
  </si>
  <si>
    <t>12.5</t>
  </si>
  <si>
    <t>125</t>
  </si>
  <si>
    <t>.500</t>
  </si>
  <si>
    <t>9-13</t>
  </si>
  <si>
    <t>170</t>
  </si>
  <si>
    <t>18-17</t>
  </si>
  <si>
    <t>10-6</t>
  </si>
  <si>
    <t>154</t>
  </si>
  <si>
    <t>9.5</t>
  </si>
  <si>
    <t>10.0</t>
  </si>
  <si>
    <t>7.5</t>
  </si>
  <si>
    <t>+3.0</t>
  </si>
  <si>
    <t>7-12</t>
  </si>
  <si>
    <t>166</t>
  </si>
  <si>
    <t>W6</t>
  </si>
  <si>
    <t>W4</t>
  </si>
  <si>
    <t>162</t>
  </si>
  <si>
    <t>20-16</t>
  </si>
  <si>
    <t>180</t>
  </si>
  <si>
    <t>.639</t>
  </si>
  <si>
    <t>9-1</t>
  </si>
  <si>
    <t>7-13</t>
  </si>
  <si>
    <t>129</t>
  </si>
  <si>
    <t>.457</t>
  </si>
  <si>
    <t>11.0</t>
  </si>
  <si>
    <t>+4.0</t>
  </si>
  <si>
    <t>19-16</t>
  </si>
  <si>
    <t>142</t>
  </si>
  <si>
    <t>126</t>
  </si>
  <si>
    <t>175</t>
  </si>
  <si>
    <t>3-16</t>
  </si>
  <si>
    <t>15.5</t>
  </si>
  <si>
    <t>14-6</t>
  </si>
  <si>
    <t>.417</t>
  </si>
  <si>
    <t>173</t>
  </si>
  <si>
    <t>14-22</t>
  </si>
  <si>
    <t>.657</t>
  </si>
  <si>
    <t>14-7</t>
  </si>
  <si>
    <t>.556</t>
  </si>
  <si>
    <t>13-9</t>
  </si>
  <si>
    <t>.514</t>
  </si>
  <si>
    <t>9-12</t>
  </si>
  <si>
    <t>15-21</t>
  </si>
  <si>
    <t>11-16</t>
  </si>
  <si>
    <t>.343</t>
  </si>
  <si>
    <t>184</t>
  </si>
  <si>
    <t>9-19</t>
  </si>
  <si>
    <t>.229</t>
  </si>
  <si>
    <t>.649</t>
  </si>
  <si>
    <t>10-11</t>
  </si>
  <si>
    <t>12-5</t>
  </si>
  <si>
    <t>9-16</t>
  </si>
  <si>
    <t>5-13</t>
  </si>
  <si>
    <t>211</t>
  </si>
  <si>
    <t>23-12</t>
  </si>
  <si>
    <t>May 8 @ WSH</t>
  </si>
  <si>
    <t>176</t>
  </si>
  <si>
    <t>127</t>
  </si>
  <si>
    <t>24-13</t>
  </si>
  <si>
    <t>May 8 vs. HOU</t>
  </si>
  <si>
    <t>177</t>
  </si>
  <si>
    <t>22-14</t>
  </si>
  <si>
    <t>11-6</t>
  </si>
  <si>
    <t>May 8 vs. DET</t>
  </si>
  <si>
    <t>.571</t>
  </si>
  <si>
    <t>10-15</t>
  </si>
  <si>
    <t>May 8 vs. SEA</t>
  </si>
  <si>
    <t>.568</t>
  </si>
  <si>
    <t>169</t>
  </si>
  <si>
    <t>23-14</t>
  </si>
  <si>
    <t>14-8</t>
  </si>
  <si>
    <t>May 8 vs. MIL</t>
  </si>
  <si>
    <t>183</t>
  </si>
  <si>
    <t>150</t>
  </si>
  <si>
    <t>22-15</t>
  </si>
  <si>
    <t>May 8 @ OAK</t>
  </si>
  <si>
    <t>3.5</t>
  </si>
  <si>
    <t>135</t>
  </si>
  <si>
    <t>120</t>
  </si>
  <si>
    <t>May 8 @ MIN</t>
  </si>
  <si>
    <t>.528</t>
  </si>
  <si>
    <t>7-14</t>
  </si>
  <si>
    <t>May 8 @ ATL</t>
  </si>
  <si>
    <t>145</t>
  </si>
  <si>
    <t>138</t>
  </si>
  <si>
    <t>19-17</t>
  </si>
  <si>
    <t>12-13</t>
  </si>
  <si>
    <t>May 8 @ CLE</t>
  </si>
  <si>
    <t>5.0</t>
  </si>
  <si>
    <t>2.0</t>
  </si>
  <si>
    <t>153</t>
  </si>
  <si>
    <t>181</t>
  </si>
  <si>
    <t>16-21</t>
  </si>
  <si>
    <t>May 8 vs. CWS</t>
  </si>
  <si>
    <t>.459</t>
  </si>
  <si>
    <t>15-22</t>
  </si>
  <si>
    <t>11-17</t>
  </si>
  <si>
    <t>May 8 vs. TEX</t>
  </si>
  <si>
    <t>.444</t>
  </si>
  <si>
    <t>13-23</t>
  </si>
  <si>
    <t>8-13</t>
  </si>
  <si>
    <t>May 8 @ PHI</t>
  </si>
  <si>
    <t>.361</t>
  </si>
  <si>
    <t>10.5</t>
  </si>
  <si>
    <t>149</t>
  </si>
  <si>
    <t>15-20</t>
  </si>
  <si>
    <t>8-22</t>
  </si>
  <si>
    <t>May 8 @ NYY</t>
  </si>
  <si>
    <t>.222</t>
  </si>
  <si>
    <t>103</t>
  </si>
  <si>
    <t>195</t>
  </si>
  <si>
    <t>9-27</t>
  </si>
  <si>
    <t>6-24</t>
  </si>
  <si>
    <t>May 8 @ TB</t>
  </si>
  <si>
    <t>.703</t>
  </si>
  <si>
    <t>W7</t>
  </si>
  <si>
    <t>188</t>
  </si>
  <si>
    <t>15-6</t>
  </si>
  <si>
    <t>3-3</t>
  </si>
  <si>
    <t>May 8 vs. TOR</t>
  </si>
  <si>
    <t>.658</t>
  </si>
  <si>
    <t>139</t>
  </si>
  <si>
    <t>26-12</t>
  </si>
  <si>
    <t>May 8 vs. MIA</t>
  </si>
  <si>
    <t>.636</t>
  </si>
  <si>
    <t>20-13</t>
  </si>
  <si>
    <t>12-4</t>
  </si>
  <si>
    <t>May 8 vs. BOS</t>
  </si>
  <si>
    <t>.600</t>
  </si>
  <si>
    <t>20-15</t>
  </si>
  <si>
    <t>May 8 @ KC</t>
  </si>
  <si>
    <t>.595</t>
  </si>
  <si>
    <t>174</t>
  </si>
  <si>
    <t>158</t>
  </si>
  <si>
    <t>20-17</t>
  </si>
  <si>
    <t>13-5</t>
  </si>
  <si>
    <t>May 8 vs. SD</t>
  </si>
  <si>
    <t>W2</t>
  </si>
  <si>
    <t>17-18</t>
  </si>
  <si>
    <t>5-8</t>
  </si>
  <si>
    <t>May 8 vs. BAL</t>
  </si>
  <si>
    <t>161</t>
  </si>
  <si>
    <t>May 8 @ STL</t>
  </si>
  <si>
    <t>.487</t>
  </si>
  <si>
    <t>182</t>
  </si>
  <si>
    <t>21-18</t>
  </si>
  <si>
    <t>May 8 @ CHC</t>
  </si>
  <si>
    <t>L6</t>
  </si>
  <si>
    <t>May 8 vs. AZ</t>
  </si>
  <si>
    <t>7-10</t>
  </si>
  <si>
    <t>May 8 @ CIN</t>
  </si>
  <si>
    <t>.432</t>
  </si>
  <si>
    <t>5-14</t>
  </si>
  <si>
    <t>May 8 @ COL</t>
  </si>
  <si>
    <t>6-11</t>
  </si>
  <si>
    <t>May 8 vs. NYM</t>
  </si>
  <si>
    <t>.263</t>
  </si>
  <si>
    <t>16.5</t>
  </si>
  <si>
    <t>219</t>
  </si>
  <si>
    <t>12-26</t>
  </si>
  <si>
    <t>4-15</t>
  </si>
  <si>
    <t>May 8 @ LAD</t>
  </si>
  <si>
    <t>17.0</t>
  </si>
  <si>
    <t>205</t>
  </si>
  <si>
    <t>10-25</t>
  </si>
  <si>
    <t>2-10</t>
  </si>
  <si>
    <t>May 8 vs. SF</t>
  </si>
  <si>
    <t>LIVE @ PIT</t>
  </si>
  <si>
    <t>LIVE vs. LAA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</si>
</sst>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.000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0" xfId="0" applyNumberFormat="1"/>
    <xf numFmtId="0" fontId="0" fillId="0" borderId="13" xfId="0" applyBorder="1"/>
    <xf numFmtId="0" fontId="0" fillId="0" borderId="14" xfId="0" applyBorder="1"/>
    <xf numFmtId="164" fontId="0" fillId="0" borderId="15" xfId="0" applyNumberFormat="1" applyBorder="1"/>
    <xf numFmtId="0" fontId="0" fillId="0" borderId="16" xfId="0" applyBorder="1"/>
    <xf numFmtId="166" fontId="0" fillId="0" borderId="0" xfId="1" applyNumberFormat="1" applyFont="1"/>
    <xf numFmtId="1" fontId="0" fillId="0" borderId="0" xfId="1" applyNumberFormat="1" applyFont="1"/>
    <xf numFmtId="166" fontId="0" fillId="0" borderId="11" xfId="1" applyNumberFormat="1" applyFont="1" applyBorder="1"/>
    <xf numFmtId="0" fontId="0" fillId="0" borderId="15" xfId="0" applyBorder="1"/>
    <xf numFmtId="0" fontId="6" fillId="0" borderId="0" xfId="0" applyFont="1"/>
    <xf numFmtId="10" fontId="0" fillId="0" borderId="0" xfId="1" applyNumberFormat="1" applyFont="1"/>
    <xf numFmtId="14" fontId="0" fillId="0" borderId="0" xfId="1" applyNumberFormat="1" applyFont="1"/>
    <xf numFmtId="0" fontId="0" fillId="2" borderId="17" xfId="0" applyFill="1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2">
    <cellStyle name="Normal" xfId="0" builtinId="0"/>
    <cellStyle name="Percent" xfId="1" builtinId="5"/>
  </cellStyles>
  <dxfs count="88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yyyy/mm/dd"/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BA8FDB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BA8FDB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color rgb="FFFF0000"/>
      </font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%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.000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/>
        </patternFill>
      </fill>
    </dxf>
    <dxf>
      <numFmt numFmtId="166" formatCode="0.0%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.000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colors>
    <mruColors>
      <color rgb="FF13274F"/>
      <color rgb="FF003278"/>
      <color rgb="FFF2552C"/>
      <color rgb="FF473729"/>
      <color rgb="FF083C6B"/>
      <color rgb="FF333366"/>
      <color rgb="FFA71930"/>
      <color rgb="FFC41E3A"/>
      <color rgb="FFF0F0F0"/>
      <color rgb="FFFDB8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</a:t>
            </a:r>
            <a:r>
              <a:rPr lang="en-CA" baseline="0"/>
              <a:t> East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multiSimOutput!$B$1</c:f>
              <c:strCache>
                <c:ptCount val="1"/>
                <c:pt idx="0">
                  <c:v>BAL</c:v>
                </c:pt>
              </c:strCache>
            </c:strRef>
          </c:tx>
          <c:spPr>
            <a:ln w="28575" cap="rnd">
              <a:solidFill>
                <a:srgbClr val="ED4C09"/>
              </a:solidFill>
              <a:round/>
            </a:ln>
            <a:effectLst/>
          </c:spPr>
          <c:marker>
            <c:symbol val="none"/>
          </c:marker>
          <c:cat>
            <c:numRef>
              <c:f>multiSimOutput!$A$2:$A$45</c:f>
              <c:numCache>
                <c:formatCode>m/d/yyyy</c:formatCode>
                <c:ptCount val="44"/>
                <c:pt idx="0">
                  <c:v>45371</c:v>
                </c:pt>
                <c:pt idx="1">
                  <c:v>45372</c:v>
                </c:pt>
                <c:pt idx="2">
                  <c:v>45379</c:v>
                </c:pt>
                <c:pt idx="3">
                  <c:v>45380</c:v>
                </c:pt>
                <c:pt idx="4">
                  <c:v>45381</c:v>
                </c:pt>
                <c:pt idx="5">
                  <c:v>45382</c:v>
                </c:pt>
                <c:pt idx="6">
                  <c:v>45383</c:v>
                </c:pt>
                <c:pt idx="7">
                  <c:v>45384</c:v>
                </c:pt>
                <c:pt idx="8">
                  <c:v>45385</c:v>
                </c:pt>
                <c:pt idx="9">
                  <c:v>45386</c:v>
                </c:pt>
                <c:pt idx="10">
                  <c:v>45387</c:v>
                </c:pt>
                <c:pt idx="11">
                  <c:v>45388</c:v>
                </c:pt>
                <c:pt idx="12">
                  <c:v>45389</c:v>
                </c:pt>
                <c:pt idx="13">
                  <c:v>45390</c:v>
                </c:pt>
                <c:pt idx="14">
                  <c:v>45391</c:v>
                </c:pt>
                <c:pt idx="15">
                  <c:v>45392</c:v>
                </c:pt>
                <c:pt idx="16">
                  <c:v>45393</c:v>
                </c:pt>
                <c:pt idx="17">
                  <c:v>45394</c:v>
                </c:pt>
                <c:pt idx="18">
                  <c:v>45395</c:v>
                </c:pt>
                <c:pt idx="19">
                  <c:v>45396</c:v>
                </c:pt>
                <c:pt idx="20">
                  <c:v>45397</c:v>
                </c:pt>
                <c:pt idx="21">
                  <c:v>45398</c:v>
                </c:pt>
                <c:pt idx="22">
                  <c:v>45399</c:v>
                </c:pt>
                <c:pt idx="23">
                  <c:v>45400</c:v>
                </c:pt>
                <c:pt idx="24">
                  <c:v>45401</c:v>
                </c:pt>
                <c:pt idx="25">
                  <c:v>45402</c:v>
                </c:pt>
                <c:pt idx="26">
                  <c:v>45403</c:v>
                </c:pt>
                <c:pt idx="27">
                  <c:v>45404</c:v>
                </c:pt>
                <c:pt idx="28">
                  <c:v>45405</c:v>
                </c:pt>
                <c:pt idx="29">
                  <c:v>45406</c:v>
                </c:pt>
                <c:pt idx="30">
                  <c:v>45407</c:v>
                </c:pt>
                <c:pt idx="31">
                  <c:v>45408</c:v>
                </c:pt>
                <c:pt idx="32">
                  <c:v>45409</c:v>
                </c:pt>
                <c:pt idx="33">
                  <c:v>45410</c:v>
                </c:pt>
                <c:pt idx="34">
                  <c:v>45411</c:v>
                </c:pt>
                <c:pt idx="35">
                  <c:v>45412</c:v>
                </c:pt>
                <c:pt idx="36">
                  <c:v>45413</c:v>
                </c:pt>
                <c:pt idx="37">
                  <c:v>45414</c:v>
                </c:pt>
                <c:pt idx="38">
                  <c:v>45415</c:v>
                </c:pt>
                <c:pt idx="39">
                  <c:v>45416</c:v>
                </c:pt>
                <c:pt idx="40">
                  <c:v>45417</c:v>
                </c:pt>
                <c:pt idx="41">
                  <c:v>45418</c:v>
                </c:pt>
                <c:pt idx="42">
                  <c:v>45419</c:v>
                </c:pt>
              </c:numCache>
            </c:numRef>
          </c:cat>
          <c:val>
            <c:numRef>
              <c:f>multiSimOutput!$B$2:$B$45</c:f>
              <c:numCache>
                <c:formatCode>0.00%</c:formatCode>
                <c:ptCount val="44"/>
                <c:pt idx="0">
                  <c:v>0.40376800000032109</c:v>
                </c:pt>
                <c:pt idx="1">
                  <c:v>0.40028800000031767</c:v>
                </c:pt>
                <c:pt idx="2">
                  <c:v>0.43732400000035471</c:v>
                </c:pt>
                <c:pt idx="3">
                  <c:v>0.43686800000035425</c:v>
                </c:pt>
                <c:pt idx="4">
                  <c:v>0.47600800000039339</c:v>
                </c:pt>
                <c:pt idx="5">
                  <c:v>0.44926400000036665</c:v>
                </c:pt>
                <c:pt idx="6">
                  <c:v>0.47887600000039626</c:v>
                </c:pt>
                <c:pt idx="7">
                  <c:v>0.4429200000003603</c:v>
                </c:pt>
                <c:pt idx="8">
                  <c:v>0.47282000000039021</c:v>
                </c:pt>
                <c:pt idx="9">
                  <c:v>0.47561599999999998</c:v>
                </c:pt>
                <c:pt idx="10">
                  <c:v>0.52542400000044276</c:v>
                </c:pt>
                <c:pt idx="11">
                  <c:v>0.48793200000040532</c:v>
                </c:pt>
                <c:pt idx="12">
                  <c:v>0.45615600000037354</c:v>
                </c:pt>
                <c:pt idx="13">
                  <c:v>0.4548200000003722</c:v>
                </c:pt>
                <c:pt idx="14">
                  <c:v>0.50129200000041862</c:v>
                </c:pt>
                <c:pt idx="15">
                  <c:v>0.5401600000004575</c:v>
                </c:pt>
                <c:pt idx="16">
                  <c:v>0.58699600000050434</c:v>
                </c:pt>
                <c:pt idx="17">
                  <c:v>0.52943600000044677</c:v>
                </c:pt>
                <c:pt idx="18">
                  <c:v>0.48670000000040409</c:v>
                </c:pt>
                <c:pt idx="19">
                  <c:v>0.51634000000043367</c:v>
                </c:pt>
                <c:pt idx="20">
                  <c:v>0.55816800000047551</c:v>
                </c:pt>
                <c:pt idx="21">
                  <c:v>0.61163999999999996</c:v>
                </c:pt>
                <c:pt idx="22">
                  <c:v>0.64230000000055965</c:v>
                </c:pt>
                <c:pt idx="23">
                  <c:v>0.64546400000056281</c:v>
                </c:pt>
                <c:pt idx="24">
                  <c:v>0.59809600000051544</c:v>
                </c:pt>
                <c:pt idx="25">
                  <c:v>0.63010000000054744</c:v>
                </c:pt>
                <c:pt idx="26">
                  <c:v>0.66960799999999998</c:v>
                </c:pt>
                <c:pt idx="27">
                  <c:v>0.70438400000062174</c:v>
                </c:pt>
                <c:pt idx="28">
                  <c:v>0.66806800000058542</c:v>
                </c:pt>
                <c:pt idx="29">
                  <c:v>0.69438800000061174</c:v>
                </c:pt>
                <c:pt idx="30">
                  <c:v>0.69590400000061325</c:v>
                </c:pt>
                <c:pt idx="31">
                  <c:v>0.67989200000059724</c:v>
                </c:pt>
                <c:pt idx="32">
                  <c:v>0.70693200000062428</c:v>
                </c:pt>
                <c:pt idx="33">
                  <c:v>0.66074000000057809</c:v>
                </c:pt>
                <c:pt idx="34">
                  <c:v>0.69072800000060808</c:v>
                </c:pt>
                <c:pt idx="35">
                  <c:v>0.71822000000063557</c:v>
                </c:pt>
                <c:pt idx="36">
                  <c:v>0.67888800000059624</c:v>
                </c:pt>
                <c:pt idx="37">
                  <c:v>0.72748800000064484</c:v>
                </c:pt>
                <c:pt idx="38">
                  <c:v>0.76538800000068274</c:v>
                </c:pt>
                <c:pt idx="39">
                  <c:v>0.78205600000069941</c:v>
                </c:pt>
                <c:pt idx="40">
                  <c:v>0.82124800000073861</c:v>
                </c:pt>
                <c:pt idx="41">
                  <c:v>0.81626000000073362</c:v>
                </c:pt>
                <c:pt idx="42">
                  <c:v>0.79479600000071216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0-444C-8F3D-E0C407D63084}"/>
            </c:ext>
          </c:extLst>
        </c:ser>
        <c:ser>
          <c:idx val="1"/>
          <c:order val="1"/>
          <c:tx>
            <c:strRef>
              <c:f>multiSimOutput!$C$1</c:f>
              <c:strCache>
                <c:ptCount val="1"/>
                <c:pt idx="0">
                  <c:v>BOS</c:v>
                </c:pt>
              </c:strCache>
            </c:strRef>
          </c:tx>
          <c:spPr>
            <a:ln w="28575" cap="rnd">
              <a:solidFill>
                <a:srgbClr val="C60C30"/>
              </a:solidFill>
              <a:round/>
            </a:ln>
            <a:effectLst/>
          </c:spPr>
          <c:marker>
            <c:symbol val="none"/>
          </c:marker>
          <c:val>
            <c:numRef>
              <c:f>multiSimOutput!$C$2:$C$45</c:f>
              <c:numCache>
                <c:formatCode>0.00%</c:formatCode>
                <c:ptCount val="44"/>
                <c:pt idx="0">
                  <c:v>0.40019200000031763</c:v>
                </c:pt>
                <c:pt idx="1">
                  <c:v>0.40267600000032006</c:v>
                </c:pt>
                <c:pt idx="2">
                  <c:v>0.43091200000034829</c:v>
                </c:pt>
                <c:pt idx="3">
                  <c:v>0.39773600000031512</c:v>
                </c:pt>
                <c:pt idx="4">
                  <c:v>0.35450000000027188</c:v>
                </c:pt>
                <c:pt idx="5">
                  <c:v>0.4023200000003197</c:v>
                </c:pt>
                <c:pt idx="6">
                  <c:v>0.46083600000037822</c:v>
                </c:pt>
                <c:pt idx="7">
                  <c:v>0.49293600000041032</c:v>
                </c:pt>
                <c:pt idx="8">
                  <c:v>0.52825600000044559</c:v>
                </c:pt>
                <c:pt idx="9">
                  <c:v>0.52994800000044728</c:v>
                </c:pt>
                <c:pt idx="10">
                  <c:v>0.55138000000046872</c:v>
                </c:pt>
                <c:pt idx="11">
                  <c:v>0.5199640000004373</c:v>
                </c:pt>
                <c:pt idx="12">
                  <c:v>0.57701200000049435</c:v>
                </c:pt>
                <c:pt idx="13">
                  <c:v>0.57517600000049252</c:v>
                </c:pt>
                <c:pt idx="14">
                  <c:v>0.52913200000044647</c:v>
                </c:pt>
                <c:pt idx="15">
                  <c:v>0.48774000000040513</c:v>
                </c:pt>
                <c:pt idx="16">
                  <c:v>0.43549600000035288</c:v>
                </c:pt>
                <c:pt idx="17">
                  <c:v>0.39189600000030927</c:v>
                </c:pt>
                <c:pt idx="18">
                  <c:v>0.44782400000036521</c:v>
                </c:pt>
                <c:pt idx="19">
                  <c:v>0.47442000000039181</c:v>
                </c:pt>
                <c:pt idx="20">
                  <c:v>0.42486800000034225</c:v>
                </c:pt>
                <c:pt idx="21">
                  <c:v>0.38040400000029778</c:v>
                </c:pt>
                <c:pt idx="22">
                  <c:v>0.41726000000033464</c:v>
                </c:pt>
                <c:pt idx="23">
                  <c:v>0.38143200000029881</c:v>
                </c:pt>
                <c:pt idx="24">
                  <c:v>0.42863200000000001</c:v>
                </c:pt>
                <c:pt idx="25">
                  <c:v>0.46612800000038351</c:v>
                </c:pt>
                <c:pt idx="26">
                  <c:v>0.51204400000042938</c:v>
                </c:pt>
                <c:pt idx="27">
                  <c:v>0.51025600000042759</c:v>
                </c:pt>
                <c:pt idx="28">
                  <c:v>0.46775600000038514</c:v>
                </c:pt>
                <c:pt idx="29">
                  <c:v>0.51872800000043606</c:v>
                </c:pt>
                <c:pt idx="30">
                  <c:v>0.48155600000039894</c:v>
                </c:pt>
                <c:pt idx="31">
                  <c:v>0.4489200000003663</c:v>
                </c:pt>
                <c:pt idx="32">
                  <c:v>0.51472800000043206</c:v>
                </c:pt>
                <c:pt idx="33">
                  <c:v>0.53914000000045648</c:v>
                </c:pt>
                <c:pt idx="34">
                  <c:v>0.52932800000044666</c:v>
                </c:pt>
                <c:pt idx="35">
                  <c:v>0.56480800000048215</c:v>
                </c:pt>
                <c:pt idx="36">
                  <c:v>0.60002400000051737</c:v>
                </c:pt>
                <c:pt idx="37">
                  <c:v>0.56590000000048324</c:v>
                </c:pt>
                <c:pt idx="38">
                  <c:v>0.51048800000042782</c:v>
                </c:pt>
                <c:pt idx="39">
                  <c:v>0.45675600000037414</c:v>
                </c:pt>
                <c:pt idx="40">
                  <c:v>0.50760000000042493</c:v>
                </c:pt>
                <c:pt idx="41">
                  <c:v>0.49686400000041425</c:v>
                </c:pt>
                <c:pt idx="42">
                  <c:v>0.4612200000003786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E0-444C-8F3D-E0C407D63084}"/>
            </c:ext>
          </c:extLst>
        </c:ser>
        <c:ser>
          <c:idx val="2"/>
          <c:order val="2"/>
          <c:tx>
            <c:strRef>
              <c:f>multiSimOutput!$D$1</c:f>
              <c:strCache>
                <c:ptCount val="1"/>
                <c:pt idx="0">
                  <c:v>NYY</c:v>
                </c:pt>
              </c:strCache>
            </c:strRef>
          </c:tx>
          <c:spPr>
            <a:ln w="28575" cap="rnd">
              <a:solidFill>
                <a:srgbClr val="1C2841"/>
              </a:solidFill>
              <a:round/>
            </a:ln>
            <a:effectLst/>
          </c:spPr>
          <c:marker>
            <c:symbol val="none"/>
          </c:marker>
          <c:val>
            <c:numRef>
              <c:f>multiSimOutput!$D$2:$D$45</c:f>
              <c:numCache>
                <c:formatCode>0.00%</c:formatCode>
                <c:ptCount val="44"/>
                <c:pt idx="0">
                  <c:v>0.40178800000031922</c:v>
                </c:pt>
                <c:pt idx="1">
                  <c:v>0.40369600000032108</c:v>
                </c:pt>
                <c:pt idx="2">
                  <c:v>0.42839200000034577</c:v>
                </c:pt>
                <c:pt idx="3">
                  <c:v>0.47709200000039448</c:v>
                </c:pt>
                <c:pt idx="4">
                  <c:v>0.50947200000042681</c:v>
                </c:pt>
                <c:pt idx="5">
                  <c:v>0.5469640000004643</c:v>
                </c:pt>
                <c:pt idx="6">
                  <c:v>0.58428400000050162</c:v>
                </c:pt>
                <c:pt idx="7">
                  <c:v>0.52823600000044557</c:v>
                </c:pt>
                <c:pt idx="8">
                  <c:v>0.55822800000047557</c:v>
                </c:pt>
                <c:pt idx="9">
                  <c:v>0.55858400000047592</c:v>
                </c:pt>
                <c:pt idx="10">
                  <c:v>0.51434800000043168</c:v>
                </c:pt>
                <c:pt idx="11">
                  <c:v>0.54374000000046108</c:v>
                </c:pt>
                <c:pt idx="12">
                  <c:v>0.59338400000051073</c:v>
                </c:pt>
                <c:pt idx="13">
                  <c:v>0.64651600000056386</c:v>
                </c:pt>
                <c:pt idx="14">
                  <c:v>0.67517200000059252</c:v>
                </c:pt>
                <c:pt idx="15">
                  <c:v>0.63632400000055367</c:v>
                </c:pt>
                <c:pt idx="16">
                  <c:v>0.63449200000055184</c:v>
                </c:pt>
                <c:pt idx="17">
                  <c:v>0.64540000000056275</c:v>
                </c:pt>
                <c:pt idx="18">
                  <c:v>0.73186800000064922</c:v>
                </c:pt>
                <c:pt idx="19">
                  <c:v>0.69219600000060955</c:v>
                </c:pt>
                <c:pt idx="20">
                  <c:v>0.66422400000058157</c:v>
                </c:pt>
                <c:pt idx="21">
                  <c:v>0.62764399999999998</c:v>
                </c:pt>
                <c:pt idx="22">
                  <c:v>0.66104000000057839</c:v>
                </c:pt>
                <c:pt idx="23">
                  <c:v>0.6604480000005778</c:v>
                </c:pt>
                <c:pt idx="24">
                  <c:v>0.69340000000061075</c:v>
                </c:pt>
                <c:pt idx="25">
                  <c:v>0.65414000000057149</c:v>
                </c:pt>
                <c:pt idx="26">
                  <c:v>0.68290400000060025</c:v>
                </c:pt>
                <c:pt idx="27">
                  <c:v>0.64478000000056213</c:v>
                </c:pt>
                <c:pt idx="28">
                  <c:v>0.68074400000059809</c:v>
                </c:pt>
                <c:pt idx="29">
                  <c:v>0.71138000000062873</c:v>
                </c:pt>
                <c:pt idx="30">
                  <c:v>0.67642800000059378</c:v>
                </c:pt>
                <c:pt idx="31">
                  <c:v>0.655644</c:v>
                </c:pt>
                <c:pt idx="32">
                  <c:v>0.69530000000061265</c:v>
                </c:pt>
                <c:pt idx="33">
                  <c:v>0.73545600000065281</c:v>
                </c:pt>
                <c:pt idx="34">
                  <c:v>0.69578800000061314</c:v>
                </c:pt>
                <c:pt idx="35">
                  <c:v>0.65244800000056979</c:v>
                </c:pt>
                <c:pt idx="36">
                  <c:v>0.68347200000060082</c:v>
                </c:pt>
                <c:pt idx="37">
                  <c:v>0.64140400000055875</c:v>
                </c:pt>
                <c:pt idx="38">
                  <c:v>0.6839480000006013</c:v>
                </c:pt>
                <c:pt idx="39">
                  <c:v>0.70778000000062513</c:v>
                </c:pt>
                <c:pt idx="40">
                  <c:v>0.74072800000065808</c:v>
                </c:pt>
                <c:pt idx="41">
                  <c:v>0.73502000000065237</c:v>
                </c:pt>
                <c:pt idx="42">
                  <c:v>0.78185600000069921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E0-444C-8F3D-E0C407D63084}"/>
            </c:ext>
          </c:extLst>
        </c:ser>
        <c:ser>
          <c:idx val="3"/>
          <c:order val="3"/>
          <c:tx>
            <c:strRef>
              <c:f>multiSimOutput!$E$1</c:f>
              <c:strCache>
                <c:ptCount val="1"/>
                <c:pt idx="0">
                  <c:v>TBR</c:v>
                </c:pt>
              </c:strCache>
            </c:strRef>
          </c:tx>
          <c:spPr>
            <a:ln w="28575" cap="rnd">
              <a:solidFill>
                <a:srgbClr val="FFD700"/>
              </a:solidFill>
              <a:round/>
            </a:ln>
            <a:effectLst/>
          </c:spPr>
          <c:marker>
            <c:symbol val="none"/>
          </c:marker>
          <c:val>
            <c:numRef>
              <c:f>multiSimOutput!$E$2:$E$45</c:f>
              <c:numCache>
                <c:formatCode>0.00%</c:formatCode>
                <c:ptCount val="44"/>
                <c:pt idx="0">
                  <c:v>0.40126000000031864</c:v>
                </c:pt>
                <c:pt idx="1">
                  <c:v>0.40070000000031808</c:v>
                </c:pt>
                <c:pt idx="2">
                  <c:v>0.34856800000026594</c:v>
                </c:pt>
                <c:pt idx="3">
                  <c:v>0.39253600000030991</c:v>
                </c:pt>
                <c:pt idx="4">
                  <c:v>0.42860799999999999</c:v>
                </c:pt>
                <c:pt idx="5">
                  <c:v>0.37722800000029461</c:v>
                </c:pt>
                <c:pt idx="6">
                  <c:v>0.32506800000024244</c:v>
                </c:pt>
                <c:pt idx="7">
                  <c:v>0.35897600000027635</c:v>
                </c:pt>
                <c:pt idx="8">
                  <c:v>0.31216000000022953</c:v>
                </c:pt>
                <c:pt idx="9">
                  <c:v>0.31251200000022988</c:v>
                </c:pt>
                <c:pt idx="10">
                  <c:v>0.28025600000019762</c:v>
                </c:pt>
                <c:pt idx="11">
                  <c:v>0.3112240000002286</c:v>
                </c:pt>
                <c:pt idx="12">
                  <c:v>0.34024800000025762</c:v>
                </c:pt>
                <c:pt idx="13">
                  <c:v>0.29861599999999999</c:v>
                </c:pt>
                <c:pt idx="14">
                  <c:v>0.32539200000024276</c:v>
                </c:pt>
                <c:pt idx="15">
                  <c:v>0.35860799999999998</c:v>
                </c:pt>
                <c:pt idx="16">
                  <c:v>0.35929200000027667</c:v>
                </c:pt>
                <c:pt idx="17">
                  <c:v>0.3998240000003172</c:v>
                </c:pt>
                <c:pt idx="18">
                  <c:v>0.35300400000027038</c:v>
                </c:pt>
                <c:pt idx="19">
                  <c:v>0.39125200000030863</c:v>
                </c:pt>
                <c:pt idx="20">
                  <c:v>0.34890000000026627</c:v>
                </c:pt>
                <c:pt idx="21">
                  <c:v>0.38234000000029972</c:v>
                </c:pt>
                <c:pt idx="22">
                  <c:v>0.34361599999999998</c:v>
                </c:pt>
                <c:pt idx="23">
                  <c:v>0.37797600000029535</c:v>
                </c:pt>
                <c:pt idx="24">
                  <c:v>0.33486400000025224</c:v>
                </c:pt>
                <c:pt idx="25">
                  <c:v>0.3631200000002805</c:v>
                </c:pt>
                <c:pt idx="26">
                  <c:v>0.32789600000024527</c:v>
                </c:pt>
                <c:pt idx="27">
                  <c:v>0.27598000000019335</c:v>
                </c:pt>
                <c:pt idx="28">
                  <c:v>0.24319600000016059</c:v>
                </c:pt>
                <c:pt idx="29">
                  <c:v>0.26607600000018344</c:v>
                </c:pt>
                <c:pt idx="30">
                  <c:v>0.26968800000018706</c:v>
                </c:pt>
                <c:pt idx="31">
                  <c:v>0.24869600000016609</c:v>
                </c:pt>
                <c:pt idx="32">
                  <c:v>0.20226800000011969</c:v>
                </c:pt>
                <c:pt idx="33">
                  <c:v>0.16729200000008468</c:v>
                </c:pt>
                <c:pt idx="34">
                  <c:v>0.18266800000010008</c:v>
                </c:pt>
                <c:pt idx="35">
                  <c:v>0.1449120000000623</c:v>
                </c:pt>
                <c:pt idx="36">
                  <c:v>0.11306000000003046</c:v>
                </c:pt>
                <c:pt idx="37">
                  <c:v>0.11516400000003256</c:v>
                </c:pt>
                <c:pt idx="38">
                  <c:v>0.13085600000004824</c:v>
                </c:pt>
                <c:pt idx="39">
                  <c:v>0.14279600000006018</c:v>
                </c:pt>
                <c:pt idx="40">
                  <c:v>0.16097600000007836</c:v>
                </c:pt>
                <c:pt idx="41">
                  <c:v>0.18738000000010477</c:v>
                </c:pt>
                <c:pt idx="42">
                  <c:v>0.22625200000014364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E0-444C-8F3D-E0C407D63084}"/>
            </c:ext>
          </c:extLst>
        </c:ser>
        <c:ser>
          <c:idx val="4"/>
          <c:order val="4"/>
          <c:tx>
            <c:strRef>
              <c:f>multiSimOutput!$F$1</c:f>
              <c:strCache>
                <c:ptCount val="1"/>
                <c:pt idx="0">
                  <c:v>TOR</c:v>
                </c:pt>
              </c:strCache>
            </c:strRef>
          </c:tx>
          <c:spPr>
            <a:ln w="28575" cap="rnd">
              <a:solidFill>
                <a:srgbClr val="003DA5"/>
              </a:solidFill>
              <a:round/>
            </a:ln>
            <a:effectLst/>
          </c:spPr>
          <c:marker>
            <c:symbol val="none"/>
          </c:marker>
          <c:val>
            <c:numRef>
              <c:f>multiSimOutput!$F$2:$F$45</c:f>
              <c:numCache>
                <c:formatCode>0.00%</c:formatCode>
                <c:ptCount val="44"/>
                <c:pt idx="0">
                  <c:v>0.40044800000031783</c:v>
                </c:pt>
                <c:pt idx="1">
                  <c:v>0.40236800000031975</c:v>
                </c:pt>
                <c:pt idx="2">
                  <c:v>0.43915200000035653</c:v>
                </c:pt>
                <c:pt idx="3">
                  <c:v>0.3909240000003083</c:v>
                </c:pt>
                <c:pt idx="4">
                  <c:v>0.34275600000026013</c:v>
                </c:pt>
                <c:pt idx="5">
                  <c:v>0.39391200000031129</c:v>
                </c:pt>
                <c:pt idx="6">
                  <c:v>0.32820800000024558</c:v>
                </c:pt>
                <c:pt idx="7">
                  <c:v>0.35628000000027366</c:v>
                </c:pt>
                <c:pt idx="8">
                  <c:v>0.296628</c:v>
                </c:pt>
                <c:pt idx="9">
                  <c:v>0.29660000000021397</c:v>
                </c:pt>
                <c:pt idx="10">
                  <c:v>0.32780400000024518</c:v>
                </c:pt>
                <c:pt idx="11">
                  <c:v>0.2997280000002171</c:v>
                </c:pt>
                <c:pt idx="12">
                  <c:v>0.26217200000017954</c:v>
                </c:pt>
                <c:pt idx="13">
                  <c:v>0.29300000000021037</c:v>
                </c:pt>
                <c:pt idx="14">
                  <c:v>0.32241200000023978</c:v>
                </c:pt>
                <c:pt idx="15">
                  <c:v>0.27835600000019572</c:v>
                </c:pt>
                <c:pt idx="16">
                  <c:v>0.27604400000019341</c:v>
                </c:pt>
                <c:pt idx="17">
                  <c:v>0.24375600000016115</c:v>
                </c:pt>
                <c:pt idx="18">
                  <c:v>0.28086400000019823</c:v>
                </c:pt>
                <c:pt idx="19">
                  <c:v>0.31184800000022922</c:v>
                </c:pt>
                <c:pt idx="20">
                  <c:v>0.34759200000026497</c:v>
                </c:pt>
                <c:pt idx="21">
                  <c:v>0.38189200000029927</c:v>
                </c:pt>
                <c:pt idx="22">
                  <c:v>0.33986800000025724</c:v>
                </c:pt>
                <c:pt idx="23">
                  <c:v>0.34216000000025953</c:v>
                </c:pt>
                <c:pt idx="24">
                  <c:v>0.374612</c:v>
                </c:pt>
                <c:pt idx="25">
                  <c:v>0.41174000000032912</c:v>
                </c:pt>
                <c:pt idx="26">
                  <c:v>0.36686000000028424</c:v>
                </c:pt>
                <c:pt idx="27">
                  <c:v>0.405636</c:v>
                </c:pt>
                <c:pt idx="28">
                  <c:v>0.37087600000028825</c:v>
                </c:pt>
                <c:pt idx="29">
                  <c:v>0.32866000000024603</c:v>
                </c:pt>
                <c:pt idx="30">
                  <c:v>0.29304800000021042</c:v>
                </c:pt>
                <c:pt idx="31">
                  <c:v>0.25872000000017609</c:v>
                </c:pt>
                <c:pt idx="32">
                  <c:v>0.21160000000000001</c:v>
                </c:pt>
                <c:pt idx="33">
                  <c:v>0.23349200000015088</c:v>
                </c:pt>
                <c:pt idx="34">
                  <c:v>0.2531320000001705</c:v>
                </c:pt>
                <c:pt idx="35">
                  <c:v>0.2107080000001281</c:v>
                </c:pt>
                <c:pt idx="36">
                  <c:v>0.17002400000008741</c:v>
                </c:pt>
                <c:pt idx="37">
                  <c:v>0.17078800000008815</c:v>
                </c:pt>
                <c:pt idx="38">
                  <c:v>0.1423200000000597</c:v>
                </c:pt>
                <c:pt idx="39">
                  <c:v>0.15798400000007537</c:v>
                </c:pt>
                <c:pt idx="40">
                  <c:v>0.13334400000005073</c:v>
                </c:pt>
                <c:pt idx="41">
                  <c:v>0.12843200000004582</c:v>
                </c:pt>
                <c:pt idx="42">
                  <c:v>0.10076000000001815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E0-444C-8F3D-E0C407D63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02847"/>
        <c:axId val="341496007"/>
      </c:lineChart>
      <c:dateAx>
        <c:axId val="341502847"/>
        <c:scaling>
          <c:orientation val="minMax"/>
          <c:min val="45379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96007"/>
        <c:crosses val="autoZero"/>
        <c:auto val="1"/>
        <c:lblOffset val="100"/>
        <c:baseTimeUnit val="days"/>
      </c:dateAx>
      <c:valAx>
        <c:axId val="3414960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</a:t>
            </a:r>
            <a:r>
              <a:rPr lang="en-CA" baseline="0"/>
              <a:t> Central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multiSimOutput!$G$1</c:f>
              <c:strCache>
                <c:ptCount val="1"/>
                <c:pt idx="0">
                  <c:v>CLE</c:v>
                </c:pt>
              </c:strCache>
            </c:strRef>
          </c:tx>
          <c:spPr>
            <a:ln w="28575" cap="rnd">
              <a:solidFill>
                <a:srgbClr val="D30335"/>
              </a:solidFill>
              <a:round/>
            </a:ln>
            <a:effectLst/>
          </c:spPr>
          <c:marker>
            <c:symbol val="none"/>
          </c:marker>
          <c:cat>
            <c:numRef>
              <c:f>multiSimOutput!$A$2:$A$45</c:f>
              <c:numCache>
                <c:formatCode>m/d/yyyy</c:formatCode>
                <c:ptCount val="44"/>
                <c:pt idx="0">
                  <c:v>45371</c:v>
                </c:pt>
                <c:pt idx="1">
                  <c:v>45372</c:v>
                </c:pt>
                <c:pt idx="2">
                  <c:v>45379</c:v>
                </c:pt>
                <c:pt idx="3">
                  <c:v>45380</c:v>
                </c:pt>
                <c:pt idx="4">
                  <c:v>45381</c:v>
                </c:pt>
                <c:pt idx="5">
                  <c:v>45382</c:v>
                </c:pt>
                <c:pt idx="6">
                  <c:v>45383</c:v>
                </c:pt>
                <c:pt idx="7">
                  <c:v>45384</c:v>
                </c:pt>
                <c:pt idx="8">
                  <c:v>45385</c:v>
                </c:pt>
                <c:pt idx="9">
                  <c:v>45386</c:v>
                </c:pt>
                <c:pt idx="10">
                  <c:v>45387</c:v>
                </c:pt>
                <c:pt idx="11">
                  <c:v>45388</c:v>
                </c:pt>
                <c:pt idx="12">
                  <c:v>45389</c:v>
                </c:pt>
                <c:pt idx="13">
                  <c:v>45390</c:v>
                </c:pt>
                <c:pt idx="14">
                  <c:v>45391</c:v>
                </c:pt>
                <c:pt idx="15">
                  <c:v>45392</c:v>
                </c:pt>
                <c:pt idx="16">
                  <c:v>45393</c:v>
                </c:pt>
                <c:pt idx="17">
                  <c:v>45394</c:v>
                </c:pt>
                <c:pt idx="18">
                  <c:v>45395</c:v>
                </c:pt>
                <c:pt idx="19">
                  <c:v>45396</c:v>
                </c:pt>
                <c:pt idx="20">
                  <c:v>45397</c:v>
                </c:pt>
                <c:pt idx="21">
                  <c:v>45398</c:v>
                </c:pt>
                <c:pt idx="22">
                  <c:v>45399</c:v>
                </c:pt>
                <c:pt idx="23">
                  <c:v>45400</c:v>
                </c:pt>
                <c:pt idx="24">
                  <c:v>45401</c:v>
                </c:pt>
                <c:pt idx="25">
                  <c:v>45402</c:v>
                </c:pt>
                <c:pt idx="26">
                  <c:v>45403</c:v>
                </c:pt>
                <c:pt idx="27">
                  <c:v>45404</c:v>
                </c:pt>
                <c:pt idx="28">
                  <c:v>45405</c:v>
                </c:pt>
                <c:pt idx="29">
                  <c:v>45406</c:v>
                </c:pt>
                <c:pt idx="30">
                  <c:v>45407</c:v>
                </c:pt>
                <c:pt idx="31">
                  <c:v>45408</c:v>
                </c:pt>
                <c:pt idx="32">
                  <c:v>45409</c:v>
                </c:pt>
                <c:pt idx="33">
                  <c:v>45410</c:v>
                </c:pt>
                <c:pt idx="34">
                  <c:v>45411</c:v>
                </c:pt>
                <c:pt idx="35">
                  <c:v>45412</c:v>
                </c:pt>
                <c:pt idx="36">
                  <c:v>45413</c:v>
                </c:pt>
                <c:pt idx="37">
                  <c:v>45414</c:v>
                </c:pt>
                <c:pt idx="38">
                  <c:v>45415</c:v>
                </c:pt>
                <c:pt idx="39">
                  <c:v>45416</c:v>
                </c:pt>
                <c:pt idx="40">
                  <c:v>45417</c:v>
                </c:pt>
                <c:pt idx="41">
                  <c:v>45418</c:v>
                </c:pt>
                <c:pt idx="42">
                  <c:v>45419</c:v>
                </c:pt>
              </c:numCache>
            </c:numRef>
          </c:cat>
          <c:val>
            <c:numRef>
              <c:f>multiSimOutput!$G$2:$G$45</c:f>
              <c:numCache>
                <c:formatCode>0.00%</c:formatCode>
                <c:ptCount val="44"/>
                <c:pt idx="0">
                  <c:v>0.40113200000031851</c:v>
                </c:pt>
                <c:pt idx="1">
                  <c:v>0.40180000000031918</c:v>
                </c:pt>
                <c:pt idx="2">
                  <c:v>0.44361600000000001</c:v>
                </c:pt>
                <c:pt idx="3">
                  <c:v>0.48203200000039942</c:v>
                </c:pt>
                <c:pt idx="4">
                  <c:v>0.52302000000044035</c:v>
                </c:pt>
                <c:pt idx="5">
                  <c:v>0.49818000000041562</c:v>
                </c:pt>
                <c:pt idx="6">
                  <c:v>0.46294800000038033</c:v>
                </c:pt>
                <c:pt idx="7">
                  <c:v>0.49978400000041717</c:v>
                </c:pt>
                <c:pt idx="8">
                  <c:v>0.5433600000004607</c:v>
                </c:pt>
                <c:pt idx="9">
                  <c:v>0.5643640000004817</c:v>
                </c:pt>
                <c:pt idx="10">
                  <c:v>0.56266000000000005</c:v>
                </c:pt>
                <c:pt idx="11">
                  <c:v>0.60628000000052362</c:v>
                </c:pt>
                <c:pt idx="12">
                  <c:v>0.60903200000052637</c:v>
                </c:pt>
                <c:pt idx="13">
                  <c:v>0.67716800000059452</c:v>
                </c:pt>
                <c:pt idx="14">
                  <c:v>0.63484000000055218</c:v>
                </c:pt>
                <c:pt idx="15">
                  <c:v>0.66140800000057876</c:v>
                </c:pt>
                <c:pt idx="16">
                  <c:v>0.65901200000057636</c:v>
                </c:pt>
                <c:pt idx="17">
                  <c:v>0.66684000000058419</c:v>
                </c:pt>
                <c:pt idx="18">
                  <c:v>0.6017560000005191</c:v>
                </c:pt>
                <c:pt idx="19">
                  <c:v>0.62683600000054418</c:v>
                </c:pt>
                <c:pt idx="20">
                  <c:v>0.68353200000060088</c:v>
                </c:pt>
                <c:pt idx="21">
                  <c:v>0.71336400000063072</c:v>
                </c:pt>
                <c:pt idx="22">
                  <c:v>0.68566000000000005</c:v>
                </c:pt>
                <c:pt idx="23">
                  <c:v>0.7178520000006352</c:v>
                </c:pt>
                <c:pt idx="24">
                  <c:v>0.75076000000066812</c:v>
                </c:pt>
                <c:pt idx="25">
                  <c:v>0.77935600000069671</c:v>
                </c:pt>
                <c:pt idx="26">
                  <c:v>0.8107400000007281</c:v>
                </c:pt>
                <c:pt idx="27">
                  <c:v>0.80749600000072486</c:v>
                </c:pt>
                <c:pt idx="28">
                  <c:v>0.83471600000075208</c:v>
                </c:pt>
                <c:pt idx="29">
                  <c:v>0.79471200000071207</c:v>
                </c:pt>
                <c:pt idx="30">
                  <c:v>0.82112000000073848</c:v>
                </c:pt>
                <c:pt idx="31">
                  <c:v>0.79510400000071246</c:v>
                </c:pt>
                <c:pt idx="32">
                  <c:v>0.81135200000072871</c:v>
                </c:pt>
                <c:pt idx="33">
                  <c:v>0.78262799999999999</c:v>
                </c:pt>
                <c:pt idx="34">
                  <c:v>0.77336800000069073</c:v>
                </c:pt>
                <c:pt idx="35">
                  <c:v>0.74090400000065826</c:v>
                </c:pt>
                <c:pt idx="36">
                  <c:v>0.76170800000067906</c:v>
                </c:pt>
                <c:pt idx="37">
                  <c:v>0.72083200000063818</c:v>
                </c:pt>
                <c:pt idx="38">
                  <c:v>0.67483200000059218</c:v>
                </c:pt>
                <c:pt idx="39">
                  <c:v>0.71226400000062962</c:v>
                </c:pt>
                <c:pt idx="40">
                  <c:v>0.74680800000066416</c:v>
                </c:pt>
                <c:pt idx="41">
                  <c:v>0.7720440000006894</c:v>
                </c:pt>
                <c:pt idx="42">
                  <c:v>0.73879200000065615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22B-87F8-AB7A3E21C004}"/>
            </c:ext>
          </c:extLst>
        </c:ser>
        <c:ser>
          <c:idx val="1"/>
          <c:order val="1"/>
          <c:tx>
            <c:strRef>
              <c:f>multiSimOutput!$H$1</c:f>
              <c:strCache>
                <c:ptCount val="1"/>
                <c:pt idx="0">
                  <c:v>CHW</c:v>
                </c:pt>
              </c:strCache>
            </c:strRef>
          </c:tx>
          <c:spPr>
            <a:ln w="28575" cap="rnd">
              <a:solidFill>
                <a:srgbClr val="C0C0C0"/>
              </a:solidFill>
              <a:round/>
            </a:ln>
            <a:effectLst/>
          </c:spPr>
          <c:marker>
            <c:symbol val="none"/>
          </c:marker>
          <c:val>
            <c:numRef>
              <c:f>multiSimOutput!$H$2:$H$45</c:f>
              <c:numCache>
                <c:formatCode>0.00%</c:formatCode>
                <c:ptCount val="44"/>
                <c:pt idx="0">
                  <c:v>0.40113200000031851</c:v>
                </c:pt>
                <c:pt idx="1">
                  <c:v>0.40083200000031821</c:v>
                </c:pt>
                <c:pt idx="2">
                  <c:v>0.34986400000026724</c:v>
                </c:pt>
                <c:pt idx="3">
                  <c:v>0.34777200000026515</c:v>
                </c:pt>
                <c:pt idx="4">
                  <c:v>0.32028000000023765</c:v>
                </c:pt>
                <c:pt idx="5">
                  <c:v>0.29087600000020825</c:v>
                </c:pt>
                <c:pt idx="6">
                  <c:v>0.23787600000015527</c:v>
                </c:pt>
                <c:pt idx="7">
                  <c:v>0.25512400000017249</c:v>
                </c:pt>
                <c:pt idx="8">
                  <c:v>0.25001600000016738</c:v>
                </c:pt>
                <c:pt idx="9">
                  <c:v>0.19895600000011637</c:v>
                </c:pt>
                <c:pt idx="10">
                  <c:v>0.17030800000008769</c:v>
                </c:pt>
                <c:pt idx="11">
                  <c:v>0.1397200000000571</c:v>
                </c:pt>
                <c:pt idx="12">
                  <c:v>0.12317600000004056</c:v>
                </c:pt>
                <c:pt idx="13">
                  <c:v>0.10547200000002288</c:v>
                </c:pt>
                <c:pt idx="14">
                  <c:v>0.12256000000003996</c:v>
                </c:pt>
                <c:pt idx="15">
                  <c:v>0.10666800000002406</c:v>
                </c:pt>
                <c:pt idx="16">
                  <c:v>0.10608800000002348</c:v>
                </c:pt>
                <c:pt idx="17">
                  <c:v>8.6499999999999994E-2</c:v>
                </c:pt>
                <c:pt idx="18">
                  <c:v>7.2099999999999997E-2</c:v>
                </c:pt>
                <c:pt idx="19">
                  <c:v>5.6632000000000002E-2</c:v>
                </c:pt>
                <c:pt idx="20">
                  <c:v>4.4220000000000002E-2</c:v>
                </c:pt>
                <c:pt idx="21">
                  <c:v>4.5303999999992531E-2</c:v>
                </c:pt>
                <c:pt idx="22">
                  <c:v>4.1683999999999999E-2</c:v>
                </c:pt>
                <c:pt idx="23">
                  <c:v>4.0795999999995843E-2</c:v>
                </c:pt>
                <c:pt idx="24">
                  <c:v>2.8368000000002468E-2</c:v>
                </c:pt>
                <c:pt idx="25">
                  <c:v>2.2248000000001655E-2</c:v>
                </c:pt>
                <c:pt idx="26">
                  <c:v>1.6628E-2</c:v>
                </c:pt>
                <c:pt idx="27">
                  <c:v>1.2936E-2</c:v>
                </c:pt>
                <c:pt idx="28">
                  <c:v>1.0192000000000055E-2</c:v>
                </c:pt>
                <c:pt idx="29">
                  <c:v>7.8040000000000002E-3</c:v>
                </c:pt>
                <c:pt idx="30">
                  <c:v>5.8999999999999999E-3</c:v>
                </c:pt>
                <c:pt idx="31">
                  <c:v>8.0599999999999995E-3</c:v>
                </c:pt>
                <c:pt idx="32">
                  <c:v>9.3159999999999996E-3</c:v>
                </c:pt>
                <c:pt idx="33">
                  <c:v>1.06E-2</c:v>
                </c:pt>
                <c:pt idx="34">
                  <c:v>7.4799999999999997E-3</c:v>
                </c:pt>
                <c:pt idx="35">
                  <c:v>5.5240000000000003E-3</c:v>
                </c:pt>
                <c:pt idx="36">
                  <c:v>3.656E-3</c:v>
                </c:pt>
                <c:pt idx="37">
                  <c:v>3.7079999999999999E-3</c:v>
                </c:pt>
                <c:pt idx="38">
                  <c:v>2.7320000000000001E-3</c:v>
                </c:pt>
                <c:pt idx="39">
                  <c:v>3.0720000000000001E-3</c:v>
                </c:pt>
                <c:pt idx="40">
                  <c:v>3.8279999999999998E-3</c:v>
                </c:pt>
                <c:pt idx="41">
                  <c:v>2.4520000000000002E-3</c:v>
                </c:pt>
                <c:pt idx="42">
                  <c:v>1.7640000000000169E-3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22B-87F8-AB7A3E21C004}"/>
            </c:ext>
          </c:extLst>
        </c:ser>
        <c:ser>
          <c:idx val="2"/>
          <c:order val="2"/>
          <c:tx>
            <c:strRef>
              <c:f>multiSimOutput!$I$1</c:f>
              <c:strCache>
                <c:ptCount val="1"/>
                <c:pt idx="0">
                  <c:v>DET</c:v>
                </c:pt>
              </c:strCache>
            </c:strRef>
          </c:tx>
          <c:spPr>
            <a:ln w="28575" cap="rnd">
              <a:solidFill>
                <a:srgbClr val="DE4406"/>
              </a:solidFill>
              <a:round/>
            </a:ln>
            <a:effectLst/>
          </c:spPr>
          <c:marker>
            <c:symbol val="none"/>
          </c:marker>
          <c:val>
            <c:numRef>
              <c:f>multiSimOutput!$I$2:$I$45</c:f>
              <c:numCache>
                <c:formatCode>0.00%</c:formatCode>
                <c:ptCount val="44"/>
                <c:pt idx="0">
                  <c:v>0.40155200000031899</c:v>
                </c:pt>
                <c:pt idx="1">
                  <c:v>0.40059600000000001</c:v>
                </c:pt>
                <c:pt idx="2">
                  <c:v>0.4419200000003593</c:v>
                </c:pt>
                <c:pt idx="3">
                  <c:v>0.44117200000035856</c:v>
                </c:pt>
                <c:pt idx="4">
                  <c:v>0.45776000000037514</c:v>
                </c:pt>
                <c:pt idx="5">
                  <c:v>0.49776000000041509</c:v>
                </c:pt>
                <c:pt idx="6">
                  <c:v>0.54834400000046568</c:v>
                </c:pt>
                <c:pt idx="7">
                  <c:v>0.58503600000050238</c:v>
                </c:pt>
                <c:pt idx="8">
                  <c:v>0.54440400000046174</c:v>
                </c:pt>
                <c:pt idx="9">
                  <c:v>0.54498400000046232</c:v>
                </c:pt>
                <c:pt idx="10">
                  <c:v>0.57539200000049273</c:v>
                </c:pt>
                <c:pt idx="11">
                  <c:v>0.5267640000004441</c:v>
                </c:pt>
                <c:pt idx="12">
                  <c:v>0.46889200000038628</c:v>
                </c:pt>
                <c:pt idx="13">
                  <c:v>0.42266000000033999</c:v>
                </c:pt>
                <c:pt idx="14">
                  <c:v>0.45995200000037734</c:v>
                </c:pt>
                <c:pt idx="15">
                  <c:v>0.45703600000037442</c:v>
                </c:pt>
                <c:pt idx="16">
                  <c:v>0.45240400000036979</c:v>
                </c:pt>
                <c:pt idx="17">
                  <c:v>0.52213200000043947</c:v>
                </c:pt>
                <c:pt idx="18">
                  <c:v>0.43140400000034879</c:v>
                </c:pt>
                <c:pt idx="19">
                  <c:v>0.46178000000037922</c:v>
                </c:pt>
                <c:pt idx="20">
                  <c:v>0.4241720000003415</c:v>
                </c:pt>
                <c:pt idx="21">
                  <c:v>0.46324000000038063</c:v>
                </c:pt>
                <c:pt idx="22">
                  <c:v>0.42582400000034321</c:v>
                </c:pt>
                <c:pt idx="23">
                  <c:v>0.38658800000030402</c:v>
                </c:pt>
                <c:pt idx="24">
                  <c:v>0.41517200000033255</c:v>
                </c:pt>
                <c:pt idx="25">
                  <c:v>0.37403200000029141</c:v>
                </c:pt>
                <c:pt idx="26">
                  <c:v>0.41948400000033687</c:v>
                </c:pt>
                <c:pt idx="27">
                  <c:v>0.47115600000038854</c:v>
                </c:pt>
                <c:pt idx="28">
                  <c:v>0.50859600000042593</c:v>
                </c:pt>
                <c:pt idx="29">
                  <c:v>0.45914800000037653</c:v>
                </c:pt>
                <c:pt idx="30">
                  <c:v>0.4590160000003764</c:v>
                </c:pt>
                <c:pt idx="31">
                  <c:v>0.41585600000033329</c:v>
                </c:pt>
                <c:pt idx="32">
                  <c:v>0.43526800000035265</c:v>
                </c:pt>
                <c:pt idx="33">
                  <c:v>0.47043200000038782</c:v>
                </c:pt>
                <c:pt idx="34">
                  <c:v>0.45993200000037732</c:v>
                </c:pt>
                <c:pt idx="35">
                  <c:v>0.45995600000037734</c:v>
                </c:pt>
                <c:pt idx="36">
                  <c:v>0.49168800000040908</c:v>
                </c:pt>
                <c:pt idx="37">
                  <c:v>0.4985160000004159</c:v>
                </c:pt>
                <c:pt idx="38">
                  <c:v>0.46183200000037922</c:v>
                </c:pt>
                <c:pt idx="39">
                  <c:v>0.4070240000003244</c:v>
                </c:pt>
                <c:pt idx="40">
                  <c:v>0.35950400000027688</c:v>
                </c:pt>
                <c:pt idx="41">
                  <c:v>0.31524800000023262</c:v>
                </c:pt>
                <c:pt idx="42">
                  <c:v>0.37034000000028772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22B-87F8-AB7A3E21C004}"/>
            </c:ext>
          </c:extLst>
        </c:ser>
        <c:ser>
          <c:idx val="3"/>
          <c:order val="3"/>
          <c:tx>
            <c:strRef>
              <c:f>multiSimOutput!$J$1</c:f>
              <c:strCache>
                <c:ptCount val="1"/>
                <c:pt idx="0">
                  <c:v>KCR</c:v>
                </c:pt>
              </c:strCache>
            </c:strRef>
          </c:tx>
          <c:spPr>
            <a:ln w="28575" cap="rnd">
              <a:solidFill>
                <a:srgbClr val="74B4FA"/>
              </a:solidFill>
              <a:round/>
            </a:ln>
            <a:effectLst/>
          </c:spPr>
          <c:marker>
            <c:symbol val="none"/>
          </c:marker>
          <c:val>
            <c:numRef>
              <c:f>multiSimOutput!$J$2:$J$45</c:f>
              <c:numCache>
                <c:formatCode>0.00%</c:formatCode>
                <c:ptCount val="44"/>
                <c:pt idx="0">
                  <c:v>0.40166000000031904</c:v>
                </c:pt>
                <c:pt idx="1">
                  <c:v>0.40154800000031893</c:v>
                </c:pt>
                <c:pt idx="2">
                  <c:v>0.3507280000002681</c:v>
                </c:pt>
                <c:pt idx="3">
                  <c:v>0.35074000000026812</c:v>
                </c:pt>
                <c:pt idx="4">
                  <c:v>0.30275600000022013</c:v>
                </c:pt>
                <c:pt idx="5">
                  <c:v>0.37768400000029506</c:v>
                </c:pt>
                <c:pt idx="6">
                  <c:v>0.3338280000002512</c:v>
                </c:pt>
                <c:pt idx="7">
                  <c:v>0.37056400000028794</c:v>
                </c:pt>
                <c:pt idx="8">
                  <c:v>0.32676000000024413</c:v>
                </c:pt>
                <c:pt idx="9">
                  <c:v>0.38779200000030523</c:v>
                </c:pt>
                <c:pt idx="10">
                  <c:v>0.42320400000034059</c:v>
                </c:pt>
                <c:pt idx="11">
                  <c:v>0.46992000000038731</c:v>
                </c:pt>
                <c:pt idx="12">
                  <c:v>0.51361199999999996</c:v>
                </c:pt>
                <c:pt idx="13">
                  <c:v>0.51319200000043053</c:v>
                </c:pt>
                <c:pt idx="14">
                  <c:v>0.54497200000046231</c:v>
                </c:pt>
                <c:pt idx="15">
                  <c:v>0.59880400000051615</c:v>
                </c:pt>
                <c:pt idx="16">
                  <c:v>0.64942400000056677</c:v>
                </c:pt>
                <c:pt idx="17">
                  <c:v>0.60860400000000003</c:v>
                </c:pt>
                <c:pt idx="18">
                  <c:v>0.6535520000005709</c:v>
                </c:pt>
                <c:pt idx="19">
                  <c:v>0.61878400000053613</c:v>
                </c:pt>
                <c:pt idx="20">
                  <c:v>0.6595480000005769</c:v>
                </c:pt>
                <c:pt idx="21">
                  <c:v>0.66012400000057747</c:v>
                </c:pt>
                <c:pt idx="22">
                  <c:v>0.6667520000005841</c:v>
                </c:pt>
                <c:pt idx="23">
                  <c:v>0.66869199999999995</c:v>
                </c:pt>
                <c:pt idx="24">
                  <c:v>0.70716000000062451</c:v>
                </c:pt>
                <c:pt idx="25">
                  <c:v>0.66340000000058075</c:v>
                </c:pt>
                <c:pt idx="26">
                  <c:v>0.61704800000053439</c:v>
                </c:pt>
                <c:pt idx="27">
                  <c:v>0.5732640000004906</c:v>
                </c:pt>
                <c:pt idx="28">
                  <c:v>0.604684</c:v>
                </c:pt>
                <c:pt idx="29">
                  <c:v>0.63580800000055315</c:v>
                </c:pt>
                <c:pt idx="30">
                  <c:v>0.67401200000059136</c:v>
                </c:pt>
                <c:pt idx="31">
                  <c:v>0.73668800000000001</c:v>
                </c:pt>
                <c:pt idx="32">
                  <c:v>0.68677200000060412</c:v>
                </c:pt>
                <c:pt idx="33">
                  <c:v>0.63846400000055581</c:v>
                </c:pt>
                <c:pt idx="34">
                  <c:v>0.59651200000051385</c:v>
                </c:pt>
                <c:pt idx="35">
                  <c:v>0.62710400000054445</c:v>
                </c:pt>
                <c:pt idx="36">
                  <c:v>0.659636</c:v>
                </c:pt>
                <c:pt idx="37">
                  <c:v>0.66636000000058371</c:v>
                </c:pt>
                <c:pt idx="38">
                  <c:v>0.71323200000063058</c:v>
                </c:pt>
                <c:pt idx="39">
                  <c:v>0.63308800000055043</c:v>
                </c:pt>
                <c:pt idx="40">
                  <c:v>0.59648800000051383</c:v>
                </c:pt>
                <c:pt idx="41">
                  <c:v>0.62491200000054226</c:v>
                </c:pt>
                <c:pt idx="42">
                  <c:v>0.59420000000051154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BA-422B-87F8-AB7A3E21C004}"/>
            </c:ext>
          </c:extLst>
        </c:ser>
        <c:ser>
          <c:idx val="4"/>
          <c:order val="4"/>
          <c:tx>
            <c:strRef>
              <c:f>multiSimOutput!$K$1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rgbClr val="072754"/>
              </a:solidFill>
              <a:round/>
            </a:ln>
            <a:effectLst/>
          </c:spPr>
          <c:marker>
            <c:symbol val="none"/>
          </c:marker>
          <c:val>
            <c:numRef>
              <c:f>multiSimOutput!$K$2:$K$45</c:f>
              <c:numCache>
                <c:formatCode>0.00%</c:formatCode>
                <c:ptCount val="44"/>
                <c:pt idx="0">
                  <c:v>0.40478000000032216</c:v>
                </c:pt>
                <c:pt idx="1">
                  <c:v>0.40383600000032122</c:v>
                </c:pt>
                <c:pt idx="2">
                  <c:v>0.44085600000035824</c:v>
                </c:pt>
                <c:pt idx="3">
                  <c:v>0.43879200000035617</c:v>
                </c:pt>
                <c:pt idx="4">
                  <c:v>0.48000400000039739</c:v>
                </c:pt>
                <c:pt idx="5">
                  <c:v>0.40456000000032194</c:v>
                </c:pt>
                <c:pt idx="6">
                  <c:v>0.40205200000031943</c:v>
                </c:pt>
                <c:pt idx="7">
                  <c:v>0.36094000000027832</c:v>
                </c:pt>
                <c:pt idx="8">
                  <c:v>0.40042800000031781</c:v>
                </c:pt>
                <c:pt idx="9">
                  <c:v>0.36324400000028062</c:v>
                </c:pt>
                <c:pt idx="10">
                  <c:v>0.36358400000028096</c:v>
                </c:pt>
                <c:pt idx="11">
                  <c:v>0.32405600000024143</c:v>
                </c:pt>
                <c:pt idx="12">
                  <c:v>0.32799600000024537</c:v>
                </c:pt>
                <c:pt idx="13">
                  <c:v>0.28999200000020736</c:v>
                </c:pt>
                <c:pt idx="14">
                  <c:v>0.25096000000016833</c:v>
                </c:pt>
                <c:pt idx="15">
                  <c:v>0.27675600000019412</c:v>
                </c:pt>
                <c:pt idx="16">
                  <c:v>0.27560400000000002</c:v>
                </c:pt>
                <c:pt idx="17">
                  <c:v>0.23394400000015136</c:v>
                </c:pt>
                <c:pt idx="18">
                  <c:v>0.33553600000025291</c:v>
                </c:pt>
                <c:pt idx="19">
                  <c:v>0.29386000000021123</c:v>
                </c:pt>
                <c:pt idx="20">
                  <c:v>0.25847200000017584</c:v>
                </c:pt>
                <c:pt idx="21">
                  <c:v>0.21122400000012859</c:v>
                </c:pt>
                <c:pt idx="22">
                  <c:v>0.18339600000010081</c:v>
                </c:pt>
                <c:pt idx="23">
                  <c:v>0.18476000000010215</c:v>
                </c:pt>
                <c:pt idx="24">
                  <c:v>0.15778800000007517</c:v>
                </c:pt>
                <c:pt idx="25">
                  <c:v>0.17733600000009472</c:v>
                </c:pt>
                <c:pt idx="26">
                  <c:v>0.14578800000006317</c:v>
                </c:pt>
                <c:pt idx="27">
                  <c:v>0.17550000000009289</c:v>
                </c:pt>
                <c:pt idx="28">
                  <c:v>0.19725200000011464</c:v>
                </c:pt>
                <c:pt idx="29">
                  <c:v>0.22329600000014069</c:v>
                </c:pt>
                <c:pt idx="30">
                  <c:v>0.25714800000017451</c:v>
                </c:pt>
                <c:pt idx="31">
                  <c:v>0.30475200000022212</c:v>
                </c:pt>
                <c:pt idx="32">
                  <c:v>0.35083200000026821</c:v>
                </c:pt>
                <c:pt idx="33">
                  <c:v>0.39104000000030842</c:v>
                </c:pt>
                <c:pt idx="34">
                  <c:v>0.41881200000033619</c:v>
                </c:pt>
                <c:pt idx="35">
                  <c:v>0.43954400000035693</c:v>
                </c:pt>
                <c:pt idx="36">
                  <c:v>0.47540400000039279</c:v>
                </c:pt>
                <c:pt idx="37">
                  <c:v>0.47890400000039629</c:v>
                </c:pt>
                <c:pt idx="38">
                  <c:v>0.52224400000043958</c:v>
                </c:pt>
                <c:pt idx="39">
                  <c:v>0.55124800000046859</c:v>
                </c:pt>
                <c:pt idx="40">
                  <c:v>0.49349200000041088</c:v>
                </c:pt>
                <c:pt idx="41">
                  <c:v>0.52771599999999996</c:v>
                </c:pt>
                <c:pt idx="42">
                  <c:v>0.48927600000040666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BA-422B-87F8-AB7A3E21C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02847"/>
        <c:axId val="341496007"/>
      </c:lineChart>
      <c:dateAx>
        <c:axId val="341502847"/>
        <c:scaling>
          <c:orientation val="minMax"/>
          <c:min val="45379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96007"/>
        <c:crosses val="autoZero"/>
        <c:auto val="1"/>
        <c:lblOffset val="100"/>
        <c:baseTimeUnit val="days"/>
      </c:dateAx>
      <c:valAx>
        <c:axId val="3414960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AL</a:t>
            </a:r>
            <a:r>
              <a:rPr lang="en-CA" baseline="0"/>
              <a:t> West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multiSimOutput!$L$1</c:f>
              <c:strCache>
                <c:ptCount val="1"/>
                <c:pt idx="0">
                  <c:v>HOU</c:v>
                </c:pt>
              </c:strCache>
            </c:strRef>
          </c:tx>
          <c:spPr>
            <a:ln w="28575" cap="rnd">
              <a:solidFill>
                <a:srgbClr val="FF7F00"/>
              </a:solidFill>
              <a:round/>
            </a:ln>
            <a:effectLst/>
          </c:spPr>
          <c:marker>
            <c:symbol val="none"/>
          </c:marker>
          <c:cat>
            <c:numRef>
              <c:f>multiSimOutput!$A$2:$A$45</c:f>
              <c:numCache>
                <c:formatCode>m/d/yyyy</c:formatCode>
                <c:ptCount val="44"/>
                <c:pt idx="0">
                  <c:v>45371</c:v>
                </c:pt>
                <c:pt idx="1">
                  <c:v>45372</c:v>
                </c:pt>
                <c:pt idx="2">
                  <c:v>45379</c:v>
                </c:pt>
                <c:pt idx="3">
                  <c:v>45380</c:v>
                </c:pt>
                <c:pt idx="4">
                  <c:v>45381</c:v>
                </c:pt>
                <c:pt idx="5">
                  <c:v>45382</c:v>
                </c:pt>
                <c:pt idx="6">
                  <c:v>45383</c:v>
                </c:pt>
                <c:pt idx="7">
                  <c:v>45384</c:v>
                </c:pt>
                <c:pt idx="8">
                  <c:v>45385</c:v>
                </c:pt>
                <c:pt idx="9">
                  <c:v>45386</c:v>
                </c:pt>
                <c:pt idx="10">
                  <c:v>45387</c:v>
                </c:pt>
                <c:pt idx="11">
                  <c:v>45388</c:v>
                </c:pt>
                <c:pt idx="12">
                  <c:v>45389</c:v>
                </c:pt>
                <c:pt idx="13">
                  <c:v>45390</c:v>
                </c:pt>
                <c:pt idx="14">
                  <c:v>45391</c:v>
                </c:pt>
                <c:pt idx="15">
                  <c:v>45392</c:v>
                </c:pt>
                <c:pt idx="16">
                  <c:v>45393</c:v>
                </c:pt>
                <c:pt idx="17">
                  <c:v>45394</c:v>
                </c:pt>
                <c:pt idx="18">
                  <c:v>45395</c:v>
                </c:pt>
                <c:pt idx="19">
                  <c:v>45396</c:v>
                </c:pt>
                <c:pt idx="20">
                  <c:v>45397</c:v>
                </c:pt>
                <c:pt idx="21">
                  <c:v>45398</c:v>
                </c:pt>
                <c:pt idx="22">
                  <c:v>45399</c:v>
                </c:pt>
                <c:pt idx="23">
                  <c:v>45400</c:v>
                </c:pt>
                <c:pt idx="24">
                  <c:v>45401</c:v>
                </c:pt>
                <c:pt idx="25">
                  <c:v>45402</c:v>
                </c:pt>
                <c:pt idx="26">
                  <c:v>45403</c:v>
                </c:pt>
                <c:pt idx="27">
                  <c:v>45404</c:v>
                </c:pt>
                <c:pt idx="28">
                  <c:v>45405</c:v>
                </c:pt>
                <c:pt idx="29">
                  <c:v>45406</c:v>
                </c:pt>
                <c:pt idx="30">
                  <c:v>45407</c:v>
                </c:pt>
                <c:pt idx="31">
                  <c:v>45408</c:v>
                </c:pt>
                <c:pt idx="32">
                  <c:v>45409</c:v>
                </c:pt>
                <c:pt idx="33">
                  <c:v>45410</c:v>
                </c:pt>
                <c:pt idx="34">
                  <c:v>45411</c:v>
                </c:pt>
                <c:pt idx="35">
                  <c:v>45412</c:v>
                </c:pt>
                <c:pt idx="36">
                  <c:v>45413</c:v>
                </c:pt>
                <c:pt idx="37">
                  <c:v>45414</c:v>
                </c:pt>
                <c:pt idx="38">
                  <c:v>45415</c:v>
                </c:pt>
                <c:pt idx="39">
                  <c:v>45416</c:v>
                </c:pt>
                <c:pt idx="40">
                  <c:v>45417</c:v>
                </c:pt>
                <c:pt idx="41">
                  <c:v>45418</c:v>
                </c:pt>
                <c:pt idx="42">
                  <c:v>45419</c:v>
                </c:pt>
              </c:numCache>
            </c:numRef>
          </c:cat>
          <c:val>
            <c:numRef>
              <c:f>multiSimOutput!$L$2:$L$45</c:f>
              <c:numCache>
                <c:formatCode>0.00%</c:formatCode>
                <c:ptCount val="44"/>
                <c:pt idx="0">
                  <c:v>0.40283600000032022</c:v>
                </c:pt>
                <c:pt idx="1">
                  <c:v>0.40189200000031927</c:v>
                </c:pt>
                <c:pt idx="2">
                  <c:v>0.36873600000028611</c:v>
                </c:pt>
                <c:pt idx="3">
                  <c:v>0.32424000000024161</c:v>
                </c:pt>
                <c:pt idx="4">
                  <c:v>0.28708000000020445</c:v>
                </c:pt>
                <c:pt idx="5">
                  <c:v>0.26174000000017911</c:v>
                </c:pt>
                <c:pt idx="6">
                  <c:v>0.30844400000022582</c:v>
                </c:pt>
                <c:pt idx="7">
                  <c:v>0.27950000000019687</c:v>
                </c:pt>
                <c:pt idx="8">
                  <c:v>0.32616000000024353</c:v>
                </c:pt>
                <c:pt idx="9">
                  <c:v>0.32775600000024513</c:v>
                </c:pt>
                <c:pt idx="10">
                  <c:v>0.27279600000019016</c:v>
                </c:pt>
                <c:pt idx="11">
                  <c:v>0.22982800000014719</c:v>
                </c:pt>
                <c:pt idx="12">
                  <c:v>0.26345600000018082</c:v>
                </c:pt>
                <c:pt idx="13">
                  <c:v>0.30583600000022321</c:v>
                </c:pt>
                <c:pt idx="14">
                  <c:v>0.27915600000019652</c:v>
                </c:pt>
                <c:pt idx="15">
                  <c:v>0.23301600000015041</c:v>
                </c:pt>
                <c:pt idx="16">
                  <c:v>0.19314400000011053</c:v>
                </c:pt>
                <c:pt idx="17">
                  <c:v>0.16275200000008014</c:v>
                </c:pt>
                <c:pt idx="18">
                  <c:v>0.2067080000001241</c:v>
                </c:pt>
                <c:pt idx="19">
                  <c:v>0.23746000000015485</c:v>
                </c:pt>
                <c:pt idx="20">
                  <c:v>0.19847200000011583</c:v>
                </c:pt>
                <c:pt idx="21">
                  <c:v>0.1752080000000926</c:v>
                </c:pt>
                <c:pt idx="22">
                  <c:v>0.14520000000006258</c:v>
                </c:pt>
                <c:pt idx="23">
                  <c:v>0.1431160000000605</c:v>
                </c:pt>
                <c:pt idx="24">
                  <c:v>0.173624</c:v>
                </c:pt>
                <c:pt idx="25">
                  <c:v>0.15352000000007091</c:v>
                </c:pt>
                <c:pt idx="26">
                  <c:v>0.1237040000000411</c:v>
                </c:pt>
                <c:pt idx="27">
                  <c:v>0.12443200000004184</c:v>
                </c:pt>
                <c:pt idx="28">
                  <c:v>9.9907999999999997E-2</c:v>
                </c:pt>
                <c:pt idx="29">
                  <c:v>8.7263999999999994E-2</c:v>
                </c:pt>
                <c:pt idx="30">
                  <c:v>7.1711999999999998E-2</c:v>
                </c:pt>
                <c:pt idx="31">
                  <c:v>7.2599999999999998E-2</c:v>
                </c:pt>
                <c:pt idx="32">
                  <c:v>8.9064000000000004E-2</c:v>
                </c:pt>
                <c:pt idx="33">
                  <c:v>0.10616000000002355</c:v>
                </c:pt>
                <c:pt idx="34">
                  <c:v>0.10035200000001776</c:v>
                </c:pt>
                <c:pt idx="35">
                  <c:v>0.1073000000000247</c:v>
                </c:pt>
                <c:pt idx="36">
                  <c:v>9.2924000000000007E-2</c:v>
                </c:pt>
                <c:pt idx="37">
                  <c:v>0.1110160000000284</c:v>
                </c:pt>
                <c:pt idx="38">
                  <c:v>0.13215200000004954</c:v>
                </c:pt>
                <c:pt idx="39">
                  <c:v>9.486E-2</c:v>
                </c:pt>
                <c:pt idx="40">
                  <c:v>7.9339999999999994E-2</c:v>
                </c:pt>
                <c:pt idx="41">
                  <c:v>7.8960000000000002E-2</c:v>
                </c:pt>
                <c:pt idx="42">
                  <c:v>5.9831999999981851E-2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2B-4B32-A688-5EF848189BEF}"/>
            </c:ext>
          </c:extLst>
        </c:ser>
        <c:ser>
          <c:idx val="1"/>
          <c:order val="1"/>
          <c:tx>
            <c:strRef>
              <c:f>multiSimOutput!$M$1</c:f>
              <c:strCache>
                <c:ptCount val="1"/>
                <c:pt idx="0">
                  <c:v>LAA</c:v>
                </c:pt>
              </c:strCache>
            </c:strRef>
          </c:tx>
          <c:spPr>
            <a:ln w="28575" cap="rnd">
              <a:solidFill>
                <a:srgbClr val="B71234"/>
              </a:solidFill>
              <a:round/>
            </a:ln>
            <a:effectLst/>
          </c:spPr>
          <c:marker>
            <c:symbol val="none"/>
          </c:marker>
          <c:val>
            <c:numRef>
              <c:f>multiSimOutput!$M$2:$M$45</c:f>
              <c:numCache>
                <c:formatCode>0.00%</c:formatCode>
                <c:ptCount val="44"/>
                <c:pt idx="0">
                  <c:v>0.3865760000003039</c:v>
                </c:pt>
                <c:pt idx="1">
                  <c:v>0.38604000000030342</c:v>
                </c:pt>
                <c:pt idx="2">
                  <c:v>0.35909200000027647</c:v>
                </c:pt>
                <c:pt idx="3">
                  <c:v>0.36091600000027829</c:v>
                </c:pt>
                <c:pt idx="4">
                  <c:v>0.31704800000023442</c:v>
                </c:pt>
                <c:pt idx="5">
                  <c:v>0.34764</c:v>
                </c:pt>
                <c:pt idx="6">
                  <c:v>0.3643200000002817</c:v>
                </c:pt>
                <c:pt idx="7">
                  <c:v>0.40283200000032021</c:v>
                </c:pt>
                <c:pt idx="8">
                  <c:v>0.44945200000036689</c:v>
                </c:pt>
                <c:pt idx="9">
                  <c:v>0.4485680000003659</c:v>
                </c:pt>
                <c:pt idx="10">
                  <c:v>0.41722800000033461</c:v>
                </c:pt>
                <c:pt idx="11">
                  <c:v>0.44309200000036048</c:v>
                </c:pt>
                <c:pt idx="12">
                  <c:v>0.39263999999999999</c:v>
                </c:pt>
                <c:pt idx="13">
                  <c:v>0.43909200000035647</c:v>
                </c:pt>
                <c:pt idx="14">
                  <c:v>0.4074160000003248</c:v>
                </c:pt>
                <c:pt idx="15">
                  <c:v>0.36980800000028718</c:v>
                </c:pt>
                <c:pt idx="16">
                  <c:v>0.37563999999999997</c:v>
                </c:pt>
                <c:pt idx="17">
                  <c:v>0.42124400000033863</c:v>
                </c:pt>
                <c:pt idx="18">
                  <c:v>0.39062400000000003</c:v>
                </c:pt>
                <c:pt idx="19">
                  <c:v>0.3549240000002723</c:v>
                </c:pt>
                <c:pt idx="20">
                  <c:v>0.39580400000031318</c:v>
                </c:pt>
                <c:pt idx="21">
                  <c:v>0.36796800000028534</c:v>
                </c:pt>
                <c:pt idx="22">
                  <c:v>0.38873200000030611</c:v>
                </c:pt>
                <c:pt idx="23">
                  <c:v>0.35166400000026904</c:v>
                </c:pt>
                <c:pt idx="24">
                  <c:v>0.31371200000023108</c:v>
                </c:pt>
                <c:pt idx="25">
                  <c:v>0.28470000000020207</c:v>
                </c:pt>
                <c:pt idx="26">
                  <c:v>0.24665600000016405</c:v>
                </c:pt>
                <c:pt idx="27">
                  <c:v>0.21236400000012975</c:v>
                </c:pt>
                <c:pt idx="28">
                  <c:v>0.24335600000016075</c:v>
                </c:pt>
                <c:pt idx="29">
                  <c:v>0.22104400000013844</c:v>
                </c:pt>
                <c:pt idx="30">
                  <c:v>0.22095600000013835</c:v>
                </c:pt>
                <c:pt idx="31">
                  <c:v>0.18994800000010736</c:v>
                </c:pt>
                <c:pt idx="32">
                  <c:v>0.15047200000006786</c:v>
                </c:pt>
                <c:pt idx="33">
                  <c:v>0.12093200000003831</c:v>
                </c:pt>
                <c:pt idx="34">
                  <c:v>0.12959600000004698</c:v>
                </c:pt>
                <c:pt idx="35">
                  <c:v>0.10073200000001813</c:v>
                </c:pt>
                <c:pt idx="36">
                  <c:v>8.6068000000000006E-2</c:v>
                </c:pt>
                <c:pt idx="37">
                  <c:v>8.4176000000000001E-2</c:v>
                </c:pt>
                <c:pt idx="38">
                  <c:v>0.1044080000000218</c:v>
                </c:pt>
                <c:pt idx="39">
                  <c:v>7.3903999999999997E-2</c:v>
                </c:pt>
                <c:pt idx="40">
                  <c:v>5.9476000000000001E-2</c:v>
                </c:pt>
                <c:pt idx="41">
                  <c:v>4.7924000000000001E-2</c:v>
                </c:pt>
                <c:pt idx="42">
                  <c:v>6.1119999999980905E-2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2B-4B32-A688-5EF848189BEF}"/>
            </c:ext>
          </c:extLst>
        </c:ser>
        <c:ser>
          <c:idx val="2"/>
          <c:order val="2"/>
          <c:tx>
            <c:strRef>
              <c:f>multiSimOutput!$N$1</c:f>
              <c:strCache>
                <c:ptCount val="1"/>
                <c:pt idx="0">
                  <c:v>OAK</c:v>
                </c:pt>
              </c:strCache>
            </c:strRef>
          </c:tx>
          <c:spPr>
            <a:ln w="28575" cap="rnd">
              <a:solidFill>
                <a:srgbClr val="003831"/>
              </a:solidFill>
              <a:round/>
            </a:ln>
            <a:effectLst/>
          </c:spPr>
          <c:marker>
            <c:symbol val="none"/>
          </c:marker>
          <c:val>
            <c:numRef>
              <c:f>multiSimOutput!$N$2:$N$45</c:f>
              <c:numCache>
                <c:formatCode>0.00%</c:formatCode>
                <c:ptCount val="44"/>
                <c:pt idx="0">
                  <c:v>0.40280000000032018</c:v>
                </c:pt>
                <c:pt idx="1">
                  <c:v>0.40314000000032052</c:v>
                </c:pt>
                <c:pt idx="2">
                  <c:v>0.35644400000027382</c:v>
                </c:pt>
                <c:pt idx="3">
                  <c:v>0.31936800000023674</c:v>
                </c:pt>
                <c:pt idx="4">
                  <c:v>0.27660800000000002</c:v>
                </c:pt>
                <c:pt idx="5">
                  <c:v>0.30422000000022159</c:v>
                </c:pt>
                <c:pt idx="6">
                  <c:v>0.25221600000016958</c:v>
                </c:pt>
                <c:pt idx="7">
                  <c:v>0.22674800000014417</c:v>
                </c:pt>
                <c:pt idx="8">
                  <c:v>0.18678400000010417</c:v>
                </c:pt>
                <c:pt idx="9">
                  <c:v>0.18690400000010429</c:v>
                </c:pt>
                <c:pt idx="10">
                  <c:v>0.17025200000008764</c:v>
                </c:pt>
                <c:pt idx="11">
                  <c:v>0.18913600000010652</c:v>
                </c:pt>
                <c:pt idx="12">
                  <c:v>0.22667200000014409</c:v>
                </c:pt>
                <c:pt idx="13">
                  <c:v>0.22712800000014452</c:v>
                </c:pt>
                <c:pt idx="14">
                  <c:v>0.25150000000016887</c:v>
                </c:pt>
                <c:pt idx="15">
                  <c:v>0.21725200000013464</c:v>
                </c:pt>
                <c:pt idx="16">
                  <c:v>0.24218800000015961</c:v>
                </c:pt>
                <c:pt idx="17">
                  <c:v>0.26822400000018559</c:v>
                </c:pt>
                <c:pt idx="18">
                  <c:v>0.24497600000016237</c:v>
                </c:pt>
                <c:pt idx="19">
                  <c:v>0.27769600000019506</c:v>
                </c:pt>
                <c:pt idx="20">
                  <c:v>0.23838400000015575</c:v>
                </c:pt>
                <c:pt idx="21">
                  <c:v>0.21500000000013239</c:v>
                </c:pt>
                <c:pt idx="22">
                  <c:v>0.2393040000001567</c:v>
                </c:pt>
                <c:pt idx="23">
                  <c:v>0.23998800000015735</c:v>
                </c:pt>
                <c:pt idx="24">
                  <c:v>0.20059200000011801</c:v>
                </c:pt>
                <c:pt idx="25">
                  <c:v>0.17399600000009138</c:v>
                </c:pt>
                <c:pt idx="26">
                  <c:v>0.14682400000006421</c:v>
                </c:pt>
                <c:pt idx="27">
                  <c:v>0.16874800000008611</c:v>
                </c:pt>
                <c:pt idx="28">
                  <c:v>0.14528400000006267</c:v>
                </c:pt>
                <c:pt idx="29">
                  <c:v>0.1235000000000409</c:v>
                </c:pt>
                <c:pt idx="30">
                  <c:v>0.14393600000006132</c:v>
                </c:pt>
                <c:pt idx="31">
                  <c:v>0.16761599999999999</c:v>
                </c:pt>
                <c:pt idx="32">
                  <c:v>0.13190000000004928</c:v>
                </c:pt>
                <c:pt idx="33">
                  <c:v>0.15287600000007026</c:v>
                </c:pt>
                <c:pt idx="34">
                  <c:v>0.16317600000008056</c:v>
                </c:pt>
                <c:pt idx="35">
                  <c:v>0.17712800000009452</c:v>
                </c:pt>
                <c:pt idx="36">
                  <c:v>0.21160399999999999</c:v>
                </c:pt>
                <c:pt idx="37">
                  <c:v>0.20647200000012383</c:v>
                </c:pt>
                <c:pt idx="38">
                  <c:v>0.23909200000015648</c:v>
                </c:pt>
                <c:pt idx="39">
                  <c:v>0.29785200000021522</c:v>
                </c:pt>
                <c:pt idx="40">
                  <c:v>0.2414080000001588</c:v>
                </c:pt>
                <c:pt idx="41">
                  <c:v>0.20985600000012725</c:v>
                </c:pt>
                <c:pt idx="42">
                  <c:v>0.16994400000008733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2B-4B32-A688-5EF848189BEF}"/>
            </c:ext>
          </c:extLst>
        </c:ser>
        <c:ser>
          <c:idx val="3"/>
          <c:order val="3"/>
          <c:tx>
            <c:strRef>
              <c:f>multiSimOutput!$O$1</c:f>
              <c:strCache>
                <c:ptCount val="1"/>
                <c:pt idx="0">
                  <c:v>SEA</c:v>
                </c:pt>
              </c:strCache>
            </c:strRef>
          </c:tx>
          <c:spPr>
            <a:ln w="28575" cap="rnd">
              <a:solidFill>
                <a:srgbClr val="005C5C"/>
              </a:solidFill>
              <a:round/>
            </a:ln>
            <a:effectLst/>
          </c:spPr>
          <c:marker>
            <c:symbol val="none"/>
          </c:marker>
          <c:val>
            <c:numRef>
              <c:f>multiSimOutput!$O$2:$O$45</c:f>
              <c:numCache>
                <c:formatCode>0.00%</c:formatCode>
                <c:ptCount val="44"/>
                <c:pt idx="0">
                  <c:v>0.38547200000030291</c:v>
                </c:pt>
                <c:pt idx="1">
                  <c:v>0.38808800000030547</c:v>
                </c:pt>
                <c:pt idx="2">
                  <c:v>0.36735200000028473</c:v>
                </c:pt>
                <c:pt idx="3">
                  <c:v>0.4001200000003175</c:v>
                </c:pt>
                <c:pt idx="4">
                  <c:v>0.43345200000035078</c:v>
                </c:pt>
                <c:pt idx="5">
                  <c:v>0.39000800000030739</c:v>
                </c:pt>
                <c:pt idx="6">
                  <c:v>0.41432800000033171</c:v>
                </c:pt>
                <c:pt idx="7">
                  <c:v>0.3752200000002926</c:v>
                </c:pt>
                <c:pt idx="8">
                  <c:v>0.3091240000002265</c:v>
                </c:pt>
                <c:pt idx="9">
                  <c:v>0.30847600000022585</c:v>
                </c:pt>
                <c:pt idx="10">
                  <c:v>0.29661999999999999</c:v>
                </c:pt>
                <c:pt idx="11">
                  <c:v>0.32063999999999998</c:v>
                </c:pt>
                <c:pt idx="12">
                  <c:v>0.28298800000020036</c:v>
                </c:pt>
                <c:pt idx="13">
                  <c:v>0.23764000000015503</c:v>
                </c:pt>
                <c:pt idx="14">
                  <c:v>0.21218800000012961</c:v>
                </c:pt>
                <c:pt idx="15">
                  <c:v>0.24648000000016387</c:v>
                </c:pt>
                <c:pt idx="16">
                  <c:v>0.25081600000016818</c:v>
                </c:pt>
                <c:pt idx="17">
                  <c:v>0.27816400000019553</c:v>
                </c:pt>
                <c:pt idx="18">
                  <c:v>0.25932000000017669</c:v>
                </c:pt>
                <c:pt idx="19">
                  <c:v>0.22756400000014496</c:v>
                </c:pt>
                <c:pt idx="20">
                  <c:v>0.26780800000018518</c:v>
                </c:pt>
                <c:pt idx="21">
                  <c:v>0.30837200000022574</c:v>
                </c:pt>
                <c:pt idx="22">
                  <c:v>0.33975600000025713</c:v>
                </c:pt>
                <c:pt idx="23">
                  <c:v>0.33931200000025669</c:v>
                </c:pt>
                <c:pt idx="24">
                  <c:v>0.34961999999999999</c:v>
                </c:pt>
                <c:pt idx="25">
                  <c:v>0.40896800000032629</c:v>
                </c:pt>
                <c:pt idx="26">
                  <c:v>0.43628400000035367</c:v>
                </c:pt>
                <c:pt idx="27">
                  <c:v>0.43548400000035287</c:v>
                </c:pt>
                <c:pt idx="28">
                  <c:v>0.49052800000040792</c:v>
                </c:pt>
                <c:pt idx="29">
                  <c:v>0.44126400000035865</c:v>
                </c:pt>
                <c:pt idx="30">
                  <c:v>0.48274400000040019</c:v>
                </c:pt>
                <c:pt idx="31">
                  <c:v>0.53459200000045193</c:v>
                </c:pt>
                <c:pt idx="32">
                  <c:v>0.57698000000049432</c:v>
                </c:pt>
                <c:pt idx="33">
                  <c:v>0.52787200000044521</c:v>
                </c:pt>
                <c:pt idx="34">
                  <c:v>0.5532600000004706</c:v>
                </c:pt>
                <c:pt idx="35">
                  <c:v>0.57234000000048968</c:v>
                </c:pt>
                <c:pt idx="36">
                  <c:v>0.52817600000044551</c:v>
                </c:pt>
                <c:pt idx="37">
                  <c:v>0.51801600000043535</c:v>
                </c:pt>
                <c:pt idx="38">
                  <c:v>0.47414000000039153</c:v>
                </c:pt>
                <c:pt idx="39">
                  <c:v>0.49793200000041532</c:v>
                </c:pt>
                <c:pt idx="40">
                  <c:v>0.53504000000045238</c:v>
                </c:pt>
                <c:pt idx="41">
                  <c:v>0.49180400000040919</c:v>
                </c:pt>
                <c:pt idx="42">
                  <c:v>0.53665600000045399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2B-4B32-A688-5EF848189BEF}"/>
            </c:ext>
          </c:extLst>
        </c:ser>
        <c:ser>
          <c:idx val="4"/>
          <c:order val="4"/>
          <c:tx>
            <c:strRef>
              <c:f>multiSimOutput!$P$1</c:f>
              <c:strCache>
                <c:ptCount val="1"/>
                <c:pt idx="0">
                  <c:v>TEX</c:v>
                </c:pt>
              </c:strCache>
            </c:strRef>
          </c:tx>
          <c:spPr>
            <a:ln w="28575" cap="rnd">
              <a:solidFill>
                <a:srgbClr val="003278"/>
              </a:solidFill>
              <a:round/>
            </a:ln>
            <a:effectLst/>
          </c:spPr>
          <c:marker>
            <c:symbol val="none"/>
          </c:marker>
          <c:val>
            <c:numRef>
              <c:f>multiSimOutput!$P$2:$P$45</c:f>
              <c:numCache>
                <c:formatCode>0.00%</c:formatCode>
                <c:ptCount val="44"/>
                <c:pt idx="0">
                  <c:v>0.40460400000000002</c:v>
                </c:pt>
                <c:pt idx="1">
                  <c:v>0.40250000000031988</c:v>
                </c:pt>
                <c:pt idx="2">
                  <c:v>0.43704400000035443</c:v>
                </c:pt>
                <c:pt idx="3">
                  <c:v>0.43969200000035707</c:v>
                </c:pt>
                <c:pt idx="4">
                  <c:v>0.49064800000040798</c:v>
                </c:pt>
                <c:pt idx="5">
                  <c:v>0.45764400000037503</c:v>
                </c:pt>
                <c:pt idx="6">
                  <c:v>0.49837200000041576</c:v>
                </c:pt>
                <c:pt idx="7">
                  <c:v>0.46490400000038229</c:v>
                </c:pt>
                <c:pt idx="8">
                  <c:v>0.49542000000041281</c:v>
                </c:pt>
                <c:pt idx="9">
                  <c:v>0.49569600000041308</c:v>
                </c:pt>
                <c:pt idx="10">
                  <c:v>0.54874400000046608</c:v>
                </c:pt>
                <c:pt idx="11">
                  <c:v>0.58797600000050532</c:v>
                </c:pt>
                <c:pt idx="12">
                  <c:v>0.5625640000004799</c:v>
                </c:pt>
                <c:pt idx="13">
                  <c:v>0.51369200000000004</c:v>
                </c:pt>
                <c:pt idx="14">
                  <c:v>0.4830560000004005</c:v>
                </c:pt>
                <c:pt idx="15">
                  <c:v>0.53158400000044892</c:v>
                </c:pt>
                <c:pt idx="16">
                  <c:v>0.50336000000042069</c:v>
                </c:pt>
                <c:pt idx="17">
                  <c:v>0.54128400000045862</c:v>
                </c:pt>
                <c:pt idx="18">
                  <c:v>0.5037640000004211</c:v>
                </c:pt>
                <c:pt idx="19">
                  <c:v>0.45840800000037579</c:v>
                </c:pt>
                <c:pt idx="20">
                  <c:v>0.48583600000040322</c:v>
                </c:pt>
                <c:pt idx="21">
                  <c:v>0.45627600000037366</c:v>
                </c:pt>
                <c:pt idx="22">
                  <c:v>0.47960799999999998</c:v>
                </c:pt>
                <c:pt idx="23">
                  <c:v>0.51975200000043709</c:v>
                </c:pt>
                <c:pt idx="24">
                  <c:v>0.47360000000000002</c:v>
                </c:pt>
                <c:pt idx="25">
                  <c:v>0.4372160000003546</c:v>
                </c:pt>
                <c:pt idx="26">
                  <c:v>0.47753200000039492</c:v>
                </c:pt>
                <c:pt idx="27">
                  <c:v>0.47758400000039497</c:v>
                </c:pt>
                <c:pt idx="28">
                  <c:v>0.43484400000035223</c:v>
                </c:pt>
                <c:pt idx="29">
                  <c:v>0.48692800000040432</c:v>
                </c:pt>
                <c:pt idx="30">
                  <c:v>0.44683200000036422</c:v>
                </c:pt>
                <c:pt idx="31">
                  <c:v>0.4829120000004003</c:v>
                </c:pt>
                <c:pt idx="32">
                  <c:v>0.4272160000003446</c:v>
                </c:pt>
                <c:pt idx="33">
                  <c:v>0.46287600000038026</c:v>
                </c:pt>
                <c:pt idx="34">
                  <c:v>0.44586800000036331</c:v>
                </c:pt>
                <c:pt idx="35">
                  <c:v>0.47837200000039576</c:v>
                </c:pt>
                <c:pt idx="36">
                  <c:v>0.44366800000036105</c:v>
                </c:pt>
                <c:pt idx="37">
                  <c:v>0.49125600000040864</c:v>
                </c:pt>
                <c:pt idx="38">
                  <c:v>0.44233600000035972</c:v>
                </c:pt>
                <c:pt idx="39">
                  <c:v>0.48138400000039883</c:v>
                </c:pt>
                <c:pt idx="40">
                  <c:v>0.52071999999999996</c:v>
                </c:pt>
                <c:pt idx="41">
                  <c:v>0.56512800000048247</c:v>
                </c:pt>
                <c:pt idx="42">
                  <c:v>0.61319200000053053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2B-4B32-A688-5EF848189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02847"/>
        <c:axId val="341496007"/>
      </c:lineChart>
      <c:dateAx>
        <c:axId val="341502847"/>
        <c:scaling>
          <c:orientation val="minMax"/>
          <c:min val="45379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96007"/>
        <c:crosses val="autoZero"/>
        <c:auto val="1"/>
        <c:lblOffset val="100"/>
        <c:baseTimeUnit val="days"/>
      </c:dateAx>
      <c:valAx>
        <c:axId val="3414960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NL</a:t>
            </a:r>
            <a:r>
              <a:rPr lang="en-CA" baseline="0"/>
              <a:t> East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multiSimOutput!$Q$1</c:f>
              <c:strCache>
                <c:ptCount val="1"/>
                <c:pt idx="0">
                  <c:v>ATL</c:v>
                </c:pt>
              </c:strCache>
            </c:strRef>
          </c:tx>
          <c:spPr>
            <a:ln w="28575" cap="rnd">
              <a:solidFill>
                <a:srgbClr val="13274F"/>
              </a:solidFill>
              <a:round/>
            </a:ln>
            <a:effectLst/>
          </c:spPr>
          <c:marker>
            <c:symbol val="none"/>
          </c:marker>
          <c:cat>
            <c:numRef>
              <c:f>multiSimOutput!$A$2:$A$45</c:f>
              <c:numCache>
                <c:formatCode>m/d/yyyy</c:formatCode>
                <c:ptCount val="44"/>
                <c:pt idx="0">
                  <c:v>45371</c:v>
                </c:pt>
                <c:pt idx="1">
                  <c:v>45372</c:v>
                </c:pt>
                <c:pt idx="2">
                  <c:v>45379</c:v>
                </c:pt>
                <c:pt idx="3">
                  <c:v>45380</c:v>
                </c:pt>
                <c:pt idx="4">
                  <c:v>45381</c:v>
                </c:pt>
                <c:pt idx="5">
                  <c:v>45382</c:v>
                </c:pt>
                <c:pt idx="6">
                  <c:v>45383</c:v>
                </c:pt>
                <c:pt idx="7">
                  <c:v>45384</c:v>
                </c:pt>
                <c:pt idx="8">
                  <c:v>45385</c:v>
                </c:pt>
                <c:pt idx="9">
                  <c:v>45386</c:v>
                </c:pt>
                <c:pt idx="10">
                  <c:v>45387</c:v>
                </c:pt>
                <c:pt idx="11">
                  <c:v>45388</c:v>
                </c:pt>
                <c:pt idx="12">
                  <c:v>45389</c:v>
                </c:pt>
                <c:pt idx="13">
                  <c:v>45390</c:v>
                </c:pt>
                <c:pt idx="14">
                  <c:v>45391</c:v>
                </c:pt>
                <c:pt idx="15">
                  <c:v>45392</c:v>
                </c:pt>
                <c:pt idx="16">
                  <c:v>45393</c:v>
                </c:pt>
                <c:pt idx="17">
                  <c:v>45394</c:v>
                </c:pt>
                <c:pt idx="18">
                  <c:v>45395</c:v>
                </c:pt>
                <c:pt idx="19">
                  <c:v>45396</c:v>
                </c:pt>
                <c:pt idx="20">
                  <c:v>45397</c:v>
                </c:pt>
                <c:pt idx="21">
                  <c:v>45398</c:v>
                </c:pt>
                <c:pt idx="22">
                  <c:v>45399</c:v>
                </c:pt>
                <c:pt idx="23">
                  <c:v>45400</c:v>
                </c:pt>
                <c:pt idx="24">
                  <c:v>45401</c:v>
                </c:pt>
                <c:pt idx="25">
                  <c:v>45402</c:v>
                </c:pt>
                <c:pt idx="26">
                  <c:v>45403</c:v>
                </c:pt>
                <c:pt idx="27">
                  <c:v>45404</c:v>
                </c:pt>
                <c:pt idx="28">
                  <c:v>45405</c:v>
                </c:pt>
                <c:pt idx="29">
                  <c:v>45406</c:v>
                </c:pt>
                <c:pt idx="30">
                  <c:v>45407</c:v>
                </c:pt>
                <c:pt idx="31">
                  <c:v>45408</c:v>
                </c:pt>
                <c:pt idx="32">
                  <c:v>45409</c:v>
                </c:pt>
                <c:pt idx="33">
                  <c:v>45410</c:v>
                </c:pt>
                <c:pt idx="34">
                  <c:v>45411</c:v>
                </c:pt>
                <c:pt idx="35">
                  <c:v>45412</c:v>
                </c:pt>
                <c:pt idx="36">
                  <c:v>45413</c:v>
                </c:pt>
                <c:pt idx="37">
                  <c:v>45414</c:v>
                </c:pt>
                <c:pt idx="38">
                  <c:v>45415</c:v>
                </c:pt>
                <c:pt idx="39">
                  <c:v>45416</c:v>
                </c:pt>
                <c:pt idx="40">
                  <c:v>45417</c:v>
                </c:pt>
                <c:pt idx="41">
                  <c:v>45418</c:v>
                </c:pt>
                <c:pt idx="42">
                  <c:v>45419</c:v>
                </c:pt>
              </c:numCache>
            </c:numRef>
          </c:cat>
          <c:val>
            <c:numRef>
              <c:f>multiSimOutput!$Q$2:$Q$45</c:f>
              <c:numCache>
                <c:formatCode>0.00%</c:formatCode>
                <c:ptCount val="44"/>
                <c:pt idx="0">
                  <c:v>0.331652</c:v>
                </c:pt>
                <c:pt idx="1">
                  <c:v>0.3322280000002496</c:v>
                </c:pt>
                <c:pt idx="2">
                  <c:v>0.4519200000003693</c:v>
                </c:pt>
                <c:pt idx="3">
                  <c:v>0.45168000000036906</c:v>
                </c:pt>
                <c:pt idx="4">
                  <c:v>0.49922800000041662</c:v>
                </c:pt>
                <c:pt idx="5">
                  <c:v>0.47487600000039226</c:v>
                </c:pt>
                <c:pt idx="6">
                  <c:v>0.53484800000045218</c:v>
                </c:pt>
                <c:pt idx="7">
                  <c:v>0.50974800000042708</c:v>
                </c:pt>
                <c:pt idx="8">
                  <c:v>0.51403200000043137</c:v>
                </c:pt>
                <c:pt idx="9">
                  <c:v>0.51923600000043657</c:v>
                </c:pt>
                <c:pt idx="10">
                  <c:v>0.55193600000046927</c:v>
                </c:pt>
                <c:pt idx="11">
                  <c:v>0.58591600000050326</c:v>
                </c:pt>
                <c:pt idx="12">
                  <c:v>0.6183600000005357</c:v>
                </c:pt>
                <c:pt idx="13">
                  <c:v>0.57794800000049529</c:v>
                </c:pt>
                <c:pt idx="14">
                  <c:v>0.61468800000000001</c:v>
                </c:pt>
                <c:pt idx="15">
                  <c:v>0.61577200000053312</c:v>
                </c:pt>
                <c:pt idx="16">
                  <c:v>0.54922400000046656</c:v>
                </c:pt>
                <c:pt idx="17">
                  <c:v>0.59991600000051726</c:v>
                </c:pt>
                <c:pt idx="18">
                  <c:v>0.5487640000004661</c:v>
                </c:pt>
                <c:pt idx="19">
                  <c:v>0.58437600000050172</c:v>
                </c:pt>
                <c:pt idx="20">
                  <c:v>0.62590800000054325</c:v>
                </c:pt>
                <c:pt idx="21">
                  <c:v>0.66076000000057811</c:v>
                </c:pt>
                <c:pt idx="22">
                  <c:v>0.68790000000060525</c:v>
                </c:pt>
                <c:pt idx="23">
                  <c:v>0.68603200000060338</c:v>
                </c:pt>
                <c:pt idx="24">
                  <c:v>0.70772400000062508</c:v>
                </c:pt>
                <c:pt idx="25">
                  <c:v>0.73396400000065132</c:v>
                </c:pt>
                <c:pt idx="26">
                  <c:v>0.69866799999999996</c:v>
                </c:pt>
                <c:pt idx="27">
                  <c:v>0.73266399999999998</c:v>
                </c:pt>
                <c:pt idx="28">
                  <c:v>0.77265600000000001</c:v>
                </c:pt>
                <c:pt idx="29">
                  <c:v>0.7959360000007133</c:v>
                </c:pt>
                <c:pt idx="30">
                  <c:v>0.79402400000071138</c:v>
                </c:pt>
                <c:pt idx="31">
                  <c:v>0.81890400000073627</c:v>
                </c:pt>
                <c:pt idx="32">
                  <c:v>0.79833200000071569</c:v>
                </c:pt>
                <c:pt idx="33">
                  <c:v>0.82574400000074311</c:v>
                </c:pt>
                <c:pt idx="34">
                  <c:v>0.81518800000073255</c:v>
                </c:pt>
                <c:pt idx="35">
                  <c:v>0.79702800000071439</c:v>
                </c:pt>
                <c:pt idx="36">
                  <c:v>0.82358799999999999</c:v>
                </c:pt>
                <c:pt idx="37">
                  <c:v>0.8252400000007426</c:v>
                </c:pt>
                <c:pt idx="38">
                  <c:v>0.80936800000072673</c:v>
                </c:pt>
                <c:pt idx="39">
                  <c:v>0.77420400000069156</c:v>
                </c:pt>
                <c:pt idx="40">
                  <c:v>0.74452400000066188</c:v>
                </c:pt>
                <c:pt idx="41">
                  <c:v>0.74223600000065959</c:v>
                </c:pt>
                <c:pt idx="42">
                  <c:v>0.75470000000067206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CE-4DF8-856E-02D344D68C87}"/>
            </c:ext>
          </c:extLst>
        </c:ser>
        <c:ser>
          <c:idx val="1"/>
          <c:order val="1"/>
          <c:tx>
            <c:strRef>
              <c:f>multiSimOutput!$R$1</c:f>
              <c:strCache>
                <c:ptCount val="1"/>
                <c:pt idx="0">
                  <c:v>MIA</c:v>
                </c:pt>
              </c:strCache>
            </c:strRef>
          </c:tx>
          <c:spPr>
            <a:ln w="28575" cap="rnd">
              <a:solidFill>
                <a:srgbClr val="00A3E0"/>
              </a:solidFill>
              <a:round/>
            </a:ln>
            <a:effectLst/>
          </c:spPr>
          <c:marker>
            <c:symbol val="none"/>
          </c:marker>
          <c:val>
            <c:numRef>
              <c:f>multiSimOutput!$R$2:$R$45</c:f>
              <c:numCache>
                <c:formatCode>0.00%</c:formatCode>
                <c:ptCount val="44"/>
                <c:pt idx="0">
                  <c:v>0.36039600000027777</c:v>
                </c:pt>
                <c:pt idx="1">
                  <c:v>0.36125200000027863</c:v>
                </c:pt>
                <c:pt idx="2">
                  <c:v>0.3744200000002918</c:v>
                </c:pt>
                <c:pt idx="3">
                  <c:v>0.33444000000025181</c:v>
                </c:pt>
                <c:pt idx="4">
                  <c:v>0.29675600000021413</c:v>
                </c:pt>
                <c:pt idx="5">
                  <c:v>0.27020000000018757</c:v>
                </c:pt>
                <c:pt idx="6">
                  <c:v>0.24135200000015877</c:v>
                </c:pt>
                <c:pt idx="7">
                  <c:v>0.21001600000012741</c:v>
                </c:pt>
                <c:pt idx="8">
                  <c:v>0.18126800000009863</c:v>
                </c:pt>
                <c:pt idx="9">
                  <c:v>0.1573120000000747</c:v>
                </c:pt>
                <c:pt idx="10">
                  <c:v>0.15599200000007338</c:v>
                </c:pt>
                <c:pt idx="11">
                  <c:v>0.13400000000005138</c:v>
                </c:pt>
                <c:pt idx="12">
                  <c:v>0.1562120000000736</c:v>
                </c:pt>
                <c:pt idx="13">
                  <c:v>0.12472400000004212</c:v>
                </c:pt>
                <c:pt idx="14">
                  <c:v>0.10677200000002415</c:v>
                </c:pt>
                <c:pt idx="15">
                  <c:v>0.12459600000004201</c:v>
                </c:pt>
                <c:pt idx="16">
                  <c:v>0.12333200000004071</c:v>
                </c:pt>
                <c:pt idx="17">
                  <c:v>9.708E-2</c:v>
                </c:pt>
                <c:pt idx="18">
                  <c:v>0.10999600000002741</c:v>
                </c:pt>
                <c:pt idx="19">
                  <c:v>9.4551999999999997E-2</c:v>
                </c:pt>
                <c:pt idx="20">
                  <c:v>7.7091999999999994E-2</c:v>
                </c:pt>
                <c:pt idx="21">
                  <c:v>8.7672E-2</c:v>
                </c:pt>
                <c:pt idx="22">
                  <c:v>7.0664000000000005E-2</c:v>
                </c:pt>
                <c:pt idx="23">
                  <c:v>7.1008000000000002E-2</c:v>
                </c:pt>
                <c:pt idx="24">
                  <c:v>5.5272000000000002E-2</c:v>
                </c:pt>
                <c:pt idx="25">
                  <c:v>5.0167999999999997E-2</c:v>
                </c:pt>
                <c:pt idx="26">
                  <c:v>6.0043999999981695E-2</c:v>
                </c:pt>
                <c:pt idx="27">
                  <c:v>4.9723999999999997E-2</c:v>
                </c:pt>
                <c:pt idx="28">
                  <c:v>3.8879999999999998E-2</c:v>
                </c:pt>
                <c:pt idx="29">
                  <c:v>3.0468000000002743E-2</c:v>
                </c:pt>
                <c:pt idx="30">
                  <c:v>2.9944000000002677E-2</c:v>
                </c:pt>
                <c:pt idx="31">
                  <c:v>2.0244000000000002E-2</c:v>
                </c:pt>
                <c:pt idx="32">
                  <c:v>1.5284000000000733E-2</c:v>
                </c:pt>
                <c:pt idx="33">
                  <c:v>1.2804000000000402E-2</c:v>
                </c:pt>
                <c:pt idx="34">
                  <c:v>9.5960000000000004E-3</c:v>
                </c:pt>
                <c:pt idx="35">
                  <c:v>1.2324000000000338E-2</c:v>
                </c:pt>
                <c:pt idx="36">
                  <c:v>1.5388000000000745E-2</c:v>
                </c:pt>
                <c:pt idx="37">
                  <c:v>1.8184000000001116E-2</c:v>
                </c:pt>
                <c:pt idx="38">
                  <c:v>1.4616000000000642E-2</c:v>
                </c:pt>
                <c:pt idx="39">
                  <c:v>1.0328000000000071E-2</c:v>
                </c:pt>
                <c:pt idx="40">
                  <c:v>1.5796000000000001E-2</c:v>
                </c:pt>
                <c:pt idx="41">
                  <c:v>1.1196000000000188E-2</c:v>
                </c:pt>
                <c:pt idx="42">
                  <c:v>7.6159999999997566E-3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CE-4DF8-856E-02D344D68C87}"/>
            </c:ext>
          </c:extLst>
        </c:ser>
        <c:ser>
          <c:idx val="2"/>
          <c:order val="2"/>
          <c:tx>
            <c:strRef>
              <c:f>multiSimOutput!$S$1</c:f>
              <c:strCache>
                <c:ptCount val="1"/>
                <c:pt idx="0">
                  <c:v>NYM</c:v>
                </c:pt>
              </c:strCache>
            </c:strRef>
          </c:tx>
          <c:spPr>
            <a:ln w="28575" cap="rnd">
              <a:solidFill>
                <a:srgbClr val="FB4F14"/>
              </a:solidFill>
              <a:round/>
            </a:ln>
            <a:effectLst/>
          </c:spPr>
          <c:marker>
            <c:symbol val="none"/>
          </c:marker>
          <c:val>
            <c:numRef>
              <c:f>multiSimOutput!$S$2:$S$45</c:f>
              <c:numCache>
                <c:formatCode>0.00%</c:formatCode>
                <c:ptCount val="44"/>
                <c:pt idx="0">
                  <c:v>0.34706400000026444</c:v>
                </c:pt>
                <c:pt idx="1">
                  <c:v>0.34604000000026341</c:v>
                </c:pt>
                <c:pt idx="2">
                  <c:v>0.36556800000028294</c:v>
                </c:pt>
                <c:pt idx="3">
                  <c:v>0.36489600000028227</c:v>
                </c:pt>
                <c:pt idx="4">
                  <c:v>0.34018400000025756</c:v>
                </c:pt>
                <c:pt idx="5">
                  <c:v>0.30135200000021872</c:v>
                </c:pt>
                <c:pt idx="6">
                  <c:v>0.26534400000018271</c:v>
                </c:pt>
                <c:pt idx="7">
                  <c:v>0.2324040000001498</c:v>
                </c:pt>
                <c:pt idx="8">
                  <c:v>0.26080800000017818</c:v>
                </c:pt>
                <c:pt idx="9">
                  <c:v>0.26262400000000002</c:v>
                </c:pt>
                <c:pt idx="10">
                  <c:v>0.28740400000020477</c:v>
                </c:pt>
                <c:pt idx="11">
                  <c:v>0.25556800000017293</c:v>
                </c:pt>
                <c:pt idx="12">
                  <c:v>0.27892400000019629</c:v>
                </c:pt>
                <c:pt idx="13">
                  <c:v>0.31481200000023218</c:v>
                </c:pt>
                <c:pt idx="14">
                  <c:v>0.28502400000020239</c:v>
                </c:pt>
                <c:pt idx="15">
                  <c:v>0.28808000000020545</c:v>
                </c:pt>
                <c:pt idx="16">
                  <c:v>0.34980000000026717</c:v>
                </c:pt>
                <c:pt idx="17">
                  <c:v>0.38990000000030728</c:v>
                </c:pt>
                <c:pt idx="18">
                  <c:v>0.34099600000025837</c:v>
                </c:pt>
                <c:pt idx="19">
                  <c:v>0.37470800000029209</c:v>
                </c:pt>
                <c:pt idx="20">
                  <c:v>0.40798800000032537</c:v>
                </c:pt>
                <c:pt idx="21">
                  <c:v>0.43864800000035598</c:v>
                </c:pt>
                <c:pt idx="22">
                  <c:v>0.49259599999999998</c:v>
                </c:pt>
                <c:pt idx="23">
                  <c:v>0.49450000000041189</c:v>
                </c:pt>
                <c:pt idx="24">
                  <c:v>0.5418680000004592</c:v>
                </c:pt>
                <c:pt idx="25">
                  <c:v>0.57067199999999996</c:v>
                </c:pt>
                <c:pt idx="26">
                  <c:v>0.49808800000041548</c:v>
                </c:pt>
                <c:pt idx="27">
                  <c:v>0.44728000000036466</c:v>
                </c:pt>
                <c:pt idx="28">
                  <c:v>0.40105600000031838</c:v>
                </c:pt>
                <c:pt idx="29">
                  <c:v>0.44914800000036659</c:v>
                </c:pt>
                <c:pt idx="30">
                  <c:v>0.4481680000003655</c:v>
                </c:pt>
                <c:pt idx="31">
                  <c:v>0.39449600000031187</c:v>
                </c:pt>
                <c:pt idx="32">
                  <c:v>0.3557200000002731</c:v>
                </c:pt>
                <c:pt idx="33">
                  <c:v>0.39603600000031342</c:v>
                </c:pt>
                <c:pt idx="34">
                  <c:v>0.36826000000028558</c:v>
                </c:pt>
                <c:pt idx="35">
                  <c:v>0.4119240000003293</c:v>
                </c:pt>
                <c:pt idx="36">
                  <c:v>0.37390800000029129</c:v>
                </c:pt>
                <c:pt idx="37">
                  <c:v>0.41378000000033122</c:v>
                </c:pt>
                <c:pt idx="38">
                  <c:v>0.3723200000002897</c:v>
                </c:pt>
                <c:pt idx="39">
                  <c:v>0.34376800000026114</c:v>
                </c:pt>
                <c:pt idx="40">
                  <c:v>0.31228400000022966</c:v>
                </c:pt>
                <c:pt idx="41">
                  <c:v>0.3417240000002591</c:v>
                </c:pt>
                <c:pt idx="42">
                  <c:v>0.36734400000028472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CE-4DF8-856E-02D344D68C87}"/>
            </c:ext>
          </c:extLst>
        </c:ser>
        <c:ser>
          <c:idx val="3"/>
          <c:order val="3"/>
          <c:tx>
            <c:strRef>
              <c:f>multiSimOutput!$T$1</c:f>
              <c:strCache>
                <c:ptCount val="1"/>
                <c:pt idx="0">
                  <c:v>PHI</c:v>
                </c:pt>
              </c:strCache>
            </c:strRef>
          </c:tx>
          <c:spPr>
            <a:ln w="28575" cap="rnd">
              <a:solidFill>
                <a:srgbClr val="BA0C2F"/>
              </a:solidFill>
              <a:round/>
            </a:ln>
            <a:effectLst/>
          </c:spPr>
          <c:marker>
            <c:symbol val="none"/>
          </c:marker>
          <c:val>
            <c:numRef>
              <c:f>multiSimOutput!$T$2:$T$45</c:f>
              <c:numCache>
                <c:formatCode>0.00%</c:formatCode>
                <c:ptCount val="44"/>
                <c:pt idx="0">
                  <c:v>0.3613200000002787</c:v>
                </c:pt>
                <c:pt idx="1">
                  <c:v>0.36024400000027762</c:v>
                </c:pt>
                <c:pt idx="2">
                  <c:v>0.36725200000028463</c:v>
                </c:pt>
                <c:pt idx="3">
                  <c:v>0.36462800000000001</c:v>
                </c:pt>
                <c:pt idx="4">
                  <c:v>0.32636800000024374</c:v>
                </c:pt>
                <c:pt idx="5">
                  <c:v>0.35467600000027205</c:v>
                </c:pt>
                <c:pt idx="6">
                  <c:v>0.32407200000024144</c:v>
                </c:pt>
                <c:pt idx="7">
                  <c:v>0.3628280000002802</c:v>
                </c:pt>
                <c:pt idx="8">
                  <c:v>0.331652</c:v>
                </c:pt>
                <c:pt idx="9">
                  <c:v>0.33184000000024921</c:v>
                </c:pt>
                <c:pt idx="10">
                  <c:v>0.36647600000028385</c:v>
                </c:pt>
                <c:pt idx="11">
                  <c:v>0.40578400000032322</c:v>
                </c:pt>
                <c:pt idx="12">
                  <c:v>0.3627280000002801</c:v>
                </c:pt>
                <c:pt idx="13">
                  <c:v>0.39359200000031097</c:v>
                </c:pt>
                <c:pt idx="14">
                  <c:v>0.34932000000026669</c:v>
                </c:pt>
                <c:pt idx="15">
                  <c:v>0.38562800000000003</c:v>
                </c:pt>
                <c:pt idx="16">
                  <c:v>0.43072800000034811</c:v>
                </c:pt>
                <c:pt idx="17">
                  <c:v>0.37898800000029642</c:v>
                </c:pt>
                <c:pt idx="18">
                  <c:v>0.41041200000032779</c:v>
                </c:pt>
                <c:pt idx="19">
                  <c:v>0.35551600000027289</c:v>
                </c:pt>
                <c:pt idx="20">
                  <c:v>0.37658400000029391</c:v>
                </c:pt>
                <c:pt idx="21">
                  <c:v>0.41999200000033737</c:v>
                </c:pt>
                <c:pt idx="22">
                  <c:v>0.45224400000036957</c:v>
                </c:pt>
                <c:pt idx="23">
                  <c:v>0.45048800000036782</c:v>
                </c:pt>
                <c:pt idx="24">
                  <c:v>0.49885600000041624</c:v>
                </c:pt>
                <c:pt idx="25">
                  <c:v>0.53461199999999998</c:v>
                </c:pt>
                <c:pt idx="26">
                  <c:v>0.58303600000050038</c:v>
                </c:pt>
                <c:pt idx="27">
                  <c:v>0.63434800000055169</c:v>
                </c:pt>
                <c:pt idx="28">
                  <c:v>0.57776800000049511</c:v>
                </c:pt>
                <c:pt idx="29">
                  <c:v>0.53101200000044835</c:v>
                </c:pt>
                <c:pt idx="30">
                  <c:v>0.57777600000049512</c:v>
                </c:pt>
                <c:pt idx="31">
                  <c:v>0.62978400000054713</c:v>
                </c:pt>
                <c:pt idx="32">
                  <c:v>0.68222800000059958</c:v>
                </c:pt>
                <c:pt idx="33">
                  <c:v>0.71832400000063568</c:v>
                </c:pt>
                <c:pt idx="34">
                  <c:v>0.68364400000000003</c:v>
                </c:pt>
                <c:pt idx="35">
                  <c:v>0.72271600000064007</c:v>
                </c:pt>
                <c:pt idx="36">
                  <c:v>0.75373600000067109</c:v>
                </c:pt>
                <c:pt idx="37">
                  <c:v>0.75341200000067077</c:v>
                </c:pt>
                <c:pt idx="38">
                  <c:v>0.78776000000070512</c:v>
                </c:pt>
                <c:pt idx="39">
                  <c:v>0.83989200000075726</c:v>
                </c:pt>
                <c:pt idx="40">
                  <c:v>0.863672</c:v>
                </c:pt>
                <c:pt idx="41">
                  <c:v>0.88670000000080407</c:v>
                </c:pt>
                <c:pt idx="42">
                  <c:v>0.90554800000082281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CE-4DF8-856E-02D344D68C87}"/>
            </c:ext>
          </c:extLst>
        </c:ser>
        <c:ser>
          <c:idx val="4"/>
          <c:order val="4"/>
          <c:tx>
            <c:strRef>
              <c:f>multiSimOutput!$U$1</c:f>
              <c:strCache>
                <c:ptCount val="1"/>
                <c:pt idx="0">
                  <c:v>WSH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multiSimOutput!$U$2:$U$45</c:f>
              <c:numCache>
                <c:formatCode>0.00%</c:formatCode>
                <c:ptCount val="44"/>
                <c:pt idx="0">
                  <c:v>0.36130400000027868</c:v>
                </c:pt>
                <c:pt idx="1">
                  <c:v>0.36041600000027779</c:v>
                </c:pt>
                <c:pt idx="2">
                  <c:v>0.36437600000028175</c:v>
                </c:pt>
                <c:pt idx="3">
                  <c:v>0.36424800000028162</c:v>
                </c:pt>
                <c:pt idx="4">
                  <c:v>0.39942800000031681</c:v>
                </c:pt>
                <c:pt idx="5">
                  <c:v>0.36838000000028576</c:v>
                </c:pt>
                <c:pt idx="6">
                  <c:v>0.33424400000025162</c:v>
                </c:pt>
                <c:pt idx="7">
                  <c:v>0.33688800000025426</c:v>
                </c:pt>
                <c:pt idx="8">
                  <c:v>0.37531200000029269</c:v>
                </c:pt>
                <c:pt idx="9">
                  <c:v>0.34021600000025759</c:v>
                </c:pt>
                <c:pt idx="10">
                  <c:v>0.29498400000021235</c:v>
                </c:pt>
                <c:pt idx="11">
                  <c:v>0.25949200000017686</c:v>
                </c:pt>
                <c:pt idx="12">
                  <c:v>0.27987600000019724</c:v>
                </c:pt>
                <c:pt idx="13">
                  <c:v>0.31857600000023595</c:v>
                </c:pt>
                <c:pt idx="14">
                  <c:v>0.3537200000002711</c:v>
                </c:pt>
                <c:pt idx="15">
                  <c:v>0.30496000000022233</c:v>
                </c:pt>
                <c:pt idx="16">
                  <c:v>0.3035320000002209</c:v>
                </c:pt>
                <c:pt idx="17">
                  <c:v>0.26295600000018032</c:v>
                </c:pt>
                <c:pt idx="18">
                  <c:v>0.29340000000021077</c:v>
                </c:pt>
                <c:pt idx="19">
                  <c:v>0.26277600000018014</c:v>
                </c:pt>
                <c:pt idx="20">
                  <c:v>0.28099600000019836</c:v>
                </c:pt>
                <c:pt idx="21">
                  <c:v>0.2374120000001548</c:v>
                </c:pt>
                <c:pt idx="22">
                  <c:v>0.26476400000018213</c:v>
                </c:pt>
                <c:pt idx="23">
                  <c:v>0.26322000000018059</c:v>
                </c:pt>
                <c:pt idx="24">
                  <c:v>0.2289040000001463</c:v>
                </c:pt>
                <c:pt idx="25">
                  <c:v>0.24995600000016735</c:v>
                </c:pt>
                <c:pt idx="26">
                  <c:v>0.2891320000002065</c:v>
                </c:pt>
                <c:pt idx="27">
                  <c:v>0.28594400000020331</c:v>
                </c:pt>
                <c:pt idx="28">
                  <c:v>0.25031600000016768</c:v>
                </c:pt>
                <c:pt idx="29">
                  <c:v>0.19816400000011555</c:v>
                </c:pt>
                <c:pt idx="30">
                  <c:v>0.17100400000008839</c:v>
                </c:pt>
                <c:pt idx="31">
                  <c:v>0.18703200000010439</c:v>
                </c:pt>
                <c:pt idx="32">
                  <c:v>0.23462400000015199</c:v>
                </c:pt>
                <c:pt idx="33">
                  <c:v>0.27320000000019057</c:v>
                </c:pt>
                <c:pt idx="34">
                  <c:v>0.32561600000000002</c:v>
                </c:pt>
                <c:pt idx="35">
                  <c:v>0.28377200000020114</c:v>
                </c:pt>
                <c:pt idx="36">
                  <c:v>0.31479200000023216</c:v>
                </c:pt>
                <c:pt idx="37">
                  <c:v>0.2668280000001842</c:v>
                </c:pt>
                <c:pt idx="38">
                  <c:v>0.31622000000023359</c:v>
                </c:pt>
                <c:pt idx="39">
                  <c:v>0.29136400000020873</c:v>
                </c:pt>
                <c:pt idx="40">
                  <c:v>0.33570800000025308</c:v>
                </c:pt>
                <c:pt idx="41">
                  <c:v>0.33333200000025071</c:v>
                </c:pt>
                <c:pt idx="42">
                  <c:v>0.36127600000027865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CE-4DF8-856E-02D344D68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02847"/>
        <c:axId val="341496007"/>
      </c:lineChart>
      <c:dateAx>
        <c:axId val="341502847"/>
        <c:scaling>
          <c:orientation val="minMax"/>
          <c:min val="45379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96007"/>
        <c:crosses val="autoZero"/>
        <c:auto val="1"/>
        <c:lblOffset val="100"/>
        <c:baseTimeUnit val="days"/>
      </c:dateAx>
      <c:valAx>
        <c:axId val="3414960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NL</a:t>
            </a:r>
            <a:r>
              <a:rPr lang="en-CA" baseline="0"/>
              <a:t> Central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multiSimOutput!$V$1</c:f>
              <c:strCache>
                <c:ptCount val="1"/>
                <c:pt idx="0">
                  <c:v>CHC</c:v>
                </c:pt>
              </c:strCache>
            </c:strRef>
          </c:tx>
          <c:spPr>
            <a:ln w="28575" cap="rnd">
              <a:solidFill>
                <a:srgbClr val="003279"/>
              </a:solidFill>
              <a:round/>
            </a:ln>
            <a:effectLst/>
          </c:spPr>
          <c:marker>
            <c:symbol val="none"/>
          </c:marker>
          <c:cat>
            <c:numRef>
              <c:f>multiSimOutput!$A$2:$A$45</c:f>
              <c:numCache>
                <c:formatCode>m/d/yyyy</c:formatCode>
                <c:ptCount val="44"/>
                <c:pt idx="0">
                  <c:v>45371</c:v>
                </c:pt>
                <c:pt idx="1">
                  <c:v>45372</c:v>
                </c:pt>
                <c:pt idx="2">
                  <c:v>45379</c:v>
                </c:pt>
                <c:pt idx="3">
                  <c:v>45380</c:v>
                </c:pt>
                <c:pt idx="4">
                  <c:v>45381</c:v>
                </c:pt>
                <c:pt idx="5">
                  <c:v>45382</c:v>
                </c:pt>
                <c:pt idx="6">
                  <c:v>45383</c:v>
                </c:pt>
                <c:pt idx="7">
                  <c:v>45384</c:v>
                </c:pt>
                <c:pt idx="8">
                  <c:v>45385</c:v>
                </c:pt>
                <c:pt idx="9">
                  <c:v>45386</c:v>
                </c:pt>
                <c:pt idx="10">
                  <c:v>45387</c:v>
                </c:pt>
                <c:pt idx="11">
                  <c:v>45388</c:v>
                </c:pt>
                <c:pt idx="12">
                  <c:v>45389</c:v>
                </c:pt>
                <c:pt idx="13">
                  <c:v>45390</c:v>
                </c:pt>
                <c:pt idx="14">
                  <c:v>45391</c:v>
                </c:pt>
                <c:pt idx="15">
                  <c:v>45392</c:v>
                </c:pt>
                <c:pt idx="16">
                  <c:v>45393</c:v>
                </c:pt>
                <c:pt idx="17">
                  <c:v>45394</c:v>
                </c:pt>
                <c:pt idx="18">
                  <c:v>45395</c:v>
                </c:pt>
                <c:pt idx="19">
                  <c:v>45396</c:v>
                </c:pt>
                <c:pt idx="20">
                  <c:v>45397</c:v>
                </c:pt>
                <c:pt idx="21">
                  <c:v>45398</c:v>
                </c:pt>
                <c:pt idx="22">
                  <c:v>45399</c:v>
                </c:pt>
                <c:pt idx="23">
                  <c:v>45400</c:v>
                </c:pt>
                <c:pt idx="24">
                  <c:v>45401</c:v>
                </c:pt>
                <c:pt idx="25">
                  <c:v>45402</c:v>
                </c:pt>
                <c:pt idx="26">
                  <c:v>45403</c:v>
                </c:pt>
                <c:pt idx="27">
                  <c:v>45404</c:v>
                </c:pt>
                <c:pt idx="28">
                  <c:v>45405</c:v>
                </c:pt>
                <c:pt idx="29">
                  <c:v>45406</c:v>
                </c:pt>
                <c:pt idx="30">
                  <c:v>45407</c:v>
                </c:pt>
                <c:pt idx="31">
                  <c:v>45408</c:v>
                </c:pt>
                <c:pt idx="32">
                  <c:v>45409</c:v>
                </c:pt>
                <c:pt idx="33">
                  <c:v>45410</c:v>
                </c:pt>
                <c:pt idx="34">
                  <c:v>45411</c:v>
                </c:pt>
                <c:pt idx="35">
                  <c:v>45412</c:v>
                </c:pt>
                <c:pt idx="36">
                  <c:v>45413</c:v>
                </c:pt>
                <c:pt idx="37">
                  <c:v>45414</c:v>
                </c:pt>
                <c:pt idx="38">
                  <c:v>45415</c:v>
                </c:pt>
                <c:pt idx="39">
                  <c:v>45416</c:v>
                </c:pt>
                <c:pt idx="40">
                  <c:v>45417</c:v>
                </c:pt>
                <c:pt idx="41">
                  <c:v>45418</c:v>
                </c:pt>
                <c:pt idx="42">
                  <c:v>45419</c:v>
                </c:pt>
              </c:numCache>
            </c:numRef>
          </c:cat>
          <c:val>
            <c:numRef>
              <c:f>multiSimOutput!$V$2:$V$45</c:f>
              <c:numCache>
                <c:formatCode>0.00%</c:formatCode>
                <c:ptCount val="44"/>
                <c:pt idx="0">
                  <c:v>0.36377200000028109</c:v>
                </c:pt>
                <c:pt idx="1">
                  <c:v>0.36311600000028049</c:v>
                </c:pt>
                <c:pt idx="2">
                  <c:v>0.36843200000028581</c:v>
                </c:pt>
                <c:pt idx="3">
                  <c:v>0.36628800000028366</c:v>
                </c:pt>
                <c:pt idx="4">
                  <c:v>0.31963599999999998</c:v>
                </c:pt>
                <c:pt idx="5">
                  <c:v>0.35013200000026751</c:v>
                </c:pt>
                <c:pt idx="6">
                  <c:v>0.39247600000030985</c:v>
                </c:pt>
                <c:pt idx="7">
                  <c:v>0.44638800000036377</c:v>
                </c:pt>
                <c:pt idx="8">
                  <c:v>0.48648000000040387</c:v>
                </c:pt>
                <c:pt idx="9">
                  <c:v>0.47964400000039703</c:v>
                </c:pt>
                <c:pt idx="10">
                  <c:v>0.51510000000043243</c:v>
                </c:pt>
                <c:pt idx="11">
                  <c:v>0.48012000000039751</c:v>
                </c:pt>
                <c:pt idx="12">
                  <c:v>0.52865200000000001</c:v>
                </c:pt>
                <c:pt idx="13">
                  <c:v>0.50051600000041785</c:v>
                </c:pt>
                <c:pt idx="14">
                  <c:v>0.54604400000046338</c:v>
                </c:pt>
                <c:pt idx="15">
                  <c:v>0.48995600000040734</c:v>
                </c:pt>
                <c:pt idx="16">
                  <c:v>0.4893680000004067</c:v>
                </c:pt>
                <c:pt idx="17">
                  <c:v>0.43549200000035287</c:v>
                </c:pt>
                <c:pt idx="18">
                  <c:v>0.46493600000038232</c:v>
                </c:pt>
                <c:pt idx="19">
                  <c:v>0.49834000000041578</c:v>
                </c:pt>
                <c:pt idx="20">
                  <c:v>0.53669999999999995</c:v>
                </c:pt>
                <c:pt idx="21">
                  <c:v>0.50064799999999998</c:v>
                </c:pt>
                <c:pt idx="22">
                  <c:v>0.54044400000045778</c:v>
                </c:pt>
                <c:pt idx="23">
                  <c:v>0.54109600000045843</c:v>
                </c:pt>
                <c:pt idx="24">
                  <c:v>0.57631600000049366</c:v>
                </c:pt>
                <c:pt idx="25">
                  <c:v>0.57381600000049116</c:v>
                </c:pt>
                <c:pt idx="26">
                  <c:v>0.52767200000000003</c:v>
                </c:pt>
                <c:pt idx="27">
                  <c:v>0.52672400000044406</c:v>
                </c:pt>
                <c:pt idx="28">
                  <c:v>0.57243600000048978</c:v>
                </c:pt>
                <c:pt idx="29">
                  <c:v>0.60069600000000001</c:v>
                </c:pt>
                <c:pt idx="30">
                  <c:v>0.63772400000055507</c:v>
                </c:pt>
                <c:pt idx="31">
                  <c:v>0.68298000000060033</c:v>
                </c:pt>
                <c:pt idx="32">
                  <c:v>0.6092560000005266</c:v>
                </c:pt>
                <c:pt idx="33">
                  <c:v>0.58364400000000005</c:v>
                </c:pt>
                <c:pt idx="34">
                  <c:v>0.62669600000000003</c:v>
                </c:pt>
                <c:pt idx="35">
                  <c:v>0.5988600000005162</c:v>
                </c:pt>
                <c:pt idx="36">
                  <c:v>0.63477200000055212</c:v>
                </c:pt>
                <c:pt idx="37">
                  <c:v>0.60208800000051943</c:v>
                </c:pt>
                <c:pt idx="38">
                  <c:v>0.56688400000048422</c:v>
                </c:pt>
                <c:pt idx="39">
                  <c:v>0.61668000000000001</c:v>
                </c:pt>
                <c:pt idx="40">
                  <c:v>0.6748480000005922</c:v>
                </c:pt>
                <c:pt idx="41">
                  <c:v>0.63512000000055246</c:v>
                </c:pt>
                <c:pt idx="42">
                  <c:v>0.6632560000005806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F-44BA-A972-310D12D7358A}"/>
            </c:ext>
          </c:extLst>
        </c:ser>
        <c:ser>
          <c:idx val="1"/>
          <c:order val="1"/>
          <c:tx>
            <c:strRef>
              <c:f>multiSimOutput!$W$1</c:f>
              <c:strCache>
                <c:ptCount val="1"/>
                <c:pt idx="0">
                  <c:v>CIN</c:v>
                </c:pt>
              </c:strCache>
            </c:strRef>
          </c:tx>
          <c:spPr>
            <a:ln w="28575" cap="rnd">
              <a:solidFill>
                <a:srgbClr val="C6011F"/>
              </a:solidFill>
              <a:round/>
            </a:ln>
            <a:effectLst/>
          </c:spPr>
          <c:marker>
            <c:symbol val="none"/>
          </c:marker>
          <c:val>
            <c:numRef>
              <c:f>multiSimOutput!$W$2:$W$45</c:f>
              <c:numCache>
                <c:formatCode>0.00%</c:formatCode>
                <c:ptCount val="44"/>
                <c:pt idx="0">
                  <c:v>0.34760000000000002</c:v>
                </c:pt>
                <c:pt idx="1">
                  <c:v>0.34777600000026515</c:v>
                </c:pt>
                <c:pt idx="2">
                  <c:v>0.44916400000036655</c:v>
                </c:pt>
                <c:pt idx="3">
                  <c:v>0.44570000000036308</c:v>
                </c:pt>
                <c:pt idx="4">
                  <c:v>0.41354000000033092</c:v>
                </c:pt>
                <c:pt idx="5">
                  <c:v>0.44326400000036065</c:v>
                </c:pt>
                <c:pt idx="6">
                  <c:v>0.47929200000039668</c:v>
                </c:pt>
                <c:pt idx="7">
                  <c:v>0.43163600000000002</c:v>
                </c:pt>
                <c:pt idx="8">
                  <c:v>0.47872800000039611</c:v>
                </c:pt>
                <c:pt idx="9">
                  <c:v>0.47422800000039161</c:v>
                </c:pt>
                <c:pt idx="10">
                  <c:v>0.44022400000035761</c:v>
                </c:pt>
                <c:pt idx="11">
                  <c:v>0.47800000000039539</c:v>
                </c:pt>
                <c:pt idx="12">
                  <c:v>0.43834800000035579</c:v>
                </c:pt>
                <c:pt idx="13">
                  <c:v>0.47298400000039043</c:v>
                </c:pt>
                <c:pt idx="14">
                  <c:v>0.42894800000034633</c:v>
                </c:pt>
                <c:pt idx="15">
                  <c:v>0.38823200000030561</c:v>
                </c:pt>
                <c:pt idx="16">
                  <c:v>0.38853200000030591</c:v>
                </c:pt>
                <c:pt idx="17">
                  <c:v>0.43498400000035242</c:v>
                </c:pt>
                <c:pt idx="18">
                  <c:v>0.46958400000038697</c:v>
                </c:pt>
                <c:pt idx="19">
                  <c:v>0.51644800000043378</c:v>
                </c:pt>
                <c:pt idx="20">
                  <c:v>0.46803200000038542</c:v>
                </c:pt>
                <c:pt idx="21">
                  <c:v>0.42821200000034559</c:v>
                </c:pt>
                <c:pt idx="22">
                  <c:v>0.38955200000030699</c:v>
                </c:pt>
                <c:pt idx="23">
                  <c:v>0.38933200000030671</c:v>
                </c:pt>
                <c:pt idx="24">
                  <c:v>0.42917600000034656</c:v>
                </c:pt>
                <c:pt idx="25">
                  <c:v>0.46325600000038064</c:v>
                </c:pt>
                <c:pt idx="26">
                  <c:v>0.50497200000042231</c:v>
                </c:pt>
                <c:pt idx="27">
                  <c:v>0.44812400000036551</c:v>
                </c:pt>
                <c:pt idx="28">
                  <c:v>0.50213600000041947</c:v>
                </c:pt>
                <c:pt idx="29">
                  <c:v>0.53204800000044938</c:v>
                </c:pt>
                <c:pt idx="30">
                  <c:v>0.48233600000039972</c:v>
                </c:pt>
                <c:pt idx="31">
                  <c:v>0.44422800000036161</c:v>
                </c:pt>
                <c:pt idx="32">
                  <c:v>0.49904800000041649</c:v>
                </c:pt>
                <c:pt idx="33">
                  <c:v>0.47192000000038931</c:v>
                </c:pt>
                <c:pt idx="34">
                  <c:v>0.52387200000044121</c:v>
                </c:pt>
                <c:pt idx="35">
                  <c:v>0.49516800000041256</c:v>
                </c:pt>
                <c:pt idx="36">
                  <c:v>0.44283200000036022</c:v>
                </c:pt>
                <c:pt idx="37">
                  <c:v>0.44655600000036394</c:v>
                </c:pt>
                <c:pt idx="38">
                  <c:v>0.4019200000003193</c:v>
                </c:pt>
                <c:pt idx="39">
                  <c:v>0.37789200000029527</c:v>
                </c:pt>
                <c:pt idx="40">
                  <c:v>0.32605200000024342</c:v>
                </c:pt>
                <c:pt idx="41">
                  <c:v>0.32378800000024116</c:v>
                </c:pt>
                <c:pt idx="42">
                  <c:v>0.27540000000019277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BF-44BA-A972-310D12D7358A}"/>
            </c:ext>
          </c:extLst>
        </c:ser>
        <c:ser>
          <c:idx val="2"/>
          <c:order val="2"/>
          <c:tx>
            <c:strRef>
              <c:f>multiSimOutput!$X$1</c:f>
              <c:strCache>
                <c:ptCount val="1"/>
                <c:pt idx="0">
                  <c:v>MIL</c:v>
                </c:pt>
              </c:strCache>
            </c:strRef>
          </c:tx>
          <c:spPr>
            <a:ln w="28575" cap="rnd">
              <a:solidFill>
                <a:srgbClr val="13294B"/>
              </a:solidFill>
              <a:round/>
            </a:ln>
            <a:effectLst/>
          </c:spPr>
          <c:marker>
            <c:symbol val="none"/>
          </c:marker>
          <c:val>
            <c:numRef>
              <c:f>multiSimOutput!$X$2:$X$45</c:f>
              <c:numCache>
                <c:formatCode>0.00%</c:formatCode>
                <c:ptCount val="44"/>
                <c:pt idx="0">
                  <c:v>0.3338240000002512</c:v>
                </c:pt>
                <c:pt idx="1">
                  <c:v>0.33310800000025048</c:v>
                </c:pt>
                <c:pt idx="2">
                  <c:v>0.44812800000036551</c:v>
                </c:pt>
                <c:pt idx="3">
                  <c:v>0.44416000000036154</c:v>
                </c:pt>
                <c:pt idx="4">
                  <c:v>0.47673600000039412</c:v>
                </c:pt>
                <c:pt idx="5">
                  <c:v>0.51269200000000004</c:v>
                </c:pt>
                <c:pt idx="6">
                  <c:v>0.51014400000042748</c:v>
                </c:pt>
                <c:pt idx="7">
                  <c:v>0.5450680000004624</c:v>
                </c:pt>
                <c:pt idx="8">
                  <c:v>0.50040400000041774</c:v>
                </c:pt>
                <c:pt idx="9">
                  <c:v>0.49688800000041428</c:v>
                </c:pt>
                <c:pt idx="10">
                  <c:v>0.53323200000045057</c:v>
                </c:pt>
                <c:pt idx="11">
                  <c:v>0.49227600000040966</c:v>
                </c:pt>
                <c:pt idx="12">
                  <c:v>0.5462640000004636</c:v>
                </c:pt>
                <c:pt idx="13">
                  <c:v>0.50478000000042211</c:v>
                </c:pt>
                <c:pt idx="14">
                  <c:v>0.54706800000046441</c:v>
                </c:pt>
                <c:pt idx="15">
                  <c:v>0.60004800000051739</c:v>
                </c:pt>
                <c:pt idx="16">
                  <c:v>0.59895200000051629</c:v>
                </c:pt>
                <c:pt idx="17">
                  <c:v>0.64418400000056153</c:v>
                </c:pt>
                <c:pt idx="18">
                  <c:v>0.67667600000000006</c:v>
                </c:pt>
                <c:pt idx="19">
                  <c:v>0.64166000000000001</c:v>
                </c:pt>
                <c:pt idx="20">
                  <c:v>0.59457600000051192</c:v>
                </c:pt>
                <c:pt idx="21">
                  <c:v>0.55731600000047465</c:v>
                </c:pt>
                <c:pt idx="22">
                  <c:v>0.59998800000051733</c:v>
                </c:pt>
                <c:pt idx="23">
                  <c:v>0.59864799999999996</c:v>
                </c:pt>
                <c:pt idx="24">
                  <c:v>0.63880000000055615</c:v>
                </c:pt>
                <c:pt idx="25">
                  <c:v>0.67977600000059712</c:v>
                </c:pt>
                <c:pt idx="26">
                  <c:v>0.71557600000063293</c:v>
                </c:pt>
                <c:pt idx="27">
                  <c:v>0.68060799999999999</c:v>
                </c:pt>
                <c:pt idx="28">
                  <c:v>0.6477520000005651</c:v>
                </c:pt>
                <c:pt idx="29">
                  <c:v>0.67578800000059314</c:v>
                </c:pt>
                <c:pt idx="30">
                  <c:v>0.70796400000062532</c:v>
                </c:pt>
                <c:pt idx="31">
                  <c:v>0.72279200000064014</c:v>
                </c:pt>
                <c:pt idx="32">
                  <c:v>0.66990400000058725</c:v>
                </c:pt>
                <c:pt idx="33">
                  <c:v>0.62000400000053735</c:v>
                </c:pt>
                <c:pt idx="34">
                  <c:v>0.58980000000050714</c:v>
                </c:pt>
                <c:pt idx="35">
                  <c:v>0.64614400000056349</c:v>
                </c:pt>
                <c:pt idx="36">
                  <c:v>0.69419200000061154</c:v>
                </c:pt>
                <c:pt idx="37">
                  <c:v>0.69540000000061275</c:v>
                </c:pt>
                <c:pt idx="38">
                  <c:v>0.73929200000065665</c:v>
                </c:pt>
                <c:pt idx="39">
                  <c:v>0.7175440000006349</c:v>
                </c:pt>
                <c:pt idx="40">
                  <c:v>0.68460399999999999</c:v>
                </c:pt>
                <c:pt idx="41">
                  <c:v>0.65143600000056878</c:v>
                </c:pt>
                <c:pt idx="42">
                  <c:v>0.67787200000059522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BF-44BA-A972-310D12D7358A}"/>
            </c:ext>
          </c:extLst>
        </c:ser>
        <c:ser>
          <c:idx val="3"/>
          <c:order val="3"/>
          <c:tx>
            <c:strRef>
              <c:f>multiSimOutput!$Y$1</c:f>
              <c:strCache>
                <c:ptCount val="1"/>
                <c:pt idx="0">
                  <c:v>PIT</c:v>
                </c:pt>
              </c:strCache>
            </c:strRef>
          </c:tx>
          <c:spPr>
            <a:ln w="28575" cap="rnd">
              <a:solidFill>
                <a:srgbClr val="FDB829"/>
              </a:solidFill>
              <a:round/>
            </a:ln>
            <a:effectLst/>
          </c:spPr>
          <c:marker>
            <c:symbol val="none"/>
          </c:marker>
          <c:val>
            <c:numRef>
              <c:f>multiSimOutput!$Y$2:$Y$45</c:f>
              <c:numCache>
                <c:formatCode>0.00%</c:formatCode>
                <c:ptCount val="44"/>
                <c:pt idx="0">
                  <c:v>0.36204400000027942</c:v>
                </c:pt>
                <c:pt idx="1">
                  <c:v>0.36246000000027984</c:v>
                </c:pt>
                <c:pt idx="2">
                  <c:v>0.43512400000035251</c:v>
                </c:pt>
                <c:pt idx="3">
                  <c:v>0.48118800000039857</c:v>
                </c:pt>
                <c:pt idx="4">
                  <c:v>0.52871999999999997</c:v>
                </c:pt>
                <c:pt idx="5">
                  <c:v>0.55618000000047352</c:v>
                </c:pt>
                <c:pt idx="6">
                  <c:v>0.58397200000050131</c:v>
                </c:pt>
                <c:pt idx="7">
                  <c:v>0.57859200000049593</c:v>
                </c:pt>
                <c:pt idx="8">
                  <c:v>0.55505200000047239</c:v>
                </c:pt>
                <c:pt idx="9">
                  <c:v>0.58938000000050672</c:v>
                </c:pt>
                <c:pt idx="10">
                  <c:v>0.55934000000047668</c:v>
                </c:pt>
                <c:pt idx="11">
                  <c:v>0.59414000000051148</c:v>
                </c:pt>
                <c:pt idx="12">
                  <c:v>0.62984000000054718</c:v>
                </c:pt>
                <c:pt idx="13">
                  <c:v>0.66597200000058332</c:v>
                </c:pt>
                <c:pt idx="14">
                  <c:v>0.62972400000054707</c:v>
                </c:pt>
                <c:pt idx="15">
                  <c:v>0.63378000000055112</c:v>
                </c:pt>
                <c:pt idx="16">
                  <c:v>0.59636400000051371</c:v>
                </c:pt>
                <c:pt idx="17">
                  <c:v>0.62144000000053878</c:v>
                </c:pt>
                <c:pt idx="18">
                  <c:v>0.57712000000049446</c:v>
                </c:pt>
                <c:pt idx="19">
                  <c:v>0.62668800000000002</c:v>
                </c:pt>
                <c:pt idx="20">
                  <c:v>0.58234800000049969</c:v>
                </c:pt>
                <c:pt idx="21">
                  <c:v>0.54666800000000004</c:v>
                </c:pt>
                <c:pt idx="22">
                  <c:v>0.48961199999999999</c:v>
                </c:pt>
                <c:pt idx="23">
                  <c:v>0.49482800000041222</c:v>
                </c:pt>
                <c:pt idx="24">
                  <c:v>0.43138800000034883</c:v>
                </c:pt>
                <c:pt idx="25">
                  <c:v>0.38702800000030441</c:v>
                </c:pt>
                <c:pt idx="26">
                  <c:v>0.33816800000025554</c:v>
                </c:pt>
                <c:pt idx="27">
                  <c:v>0.37486000000029224</c:v>
                </c:pt>
                <c:pt idx="28">
                  <c:v>0.40654800000032393</c:v>
                </c:pt>
                <c:pt idx="29">
                  <c:v>0.36121600000027859</c:v>
                </c:pt>
                <c:pt idx="30">
                  <c:v>0.32611600000024349</c:v>
                </c:pt>
                <c:pt idx="31">
                  <c:v>0.27674000000019411</c:v>
                </c:pt>
                <c:pt idx="32">
                  <c:v>0.31761200000000001</c:v>
                </c:pt>
                <c:pt idx="33">
                  <c:v>0.29105600000020843</c:v>
                </c:pt>
                <c:pt idx="34">
                  <c:v>0.25487200000017224</c:v>
                </c:pt>
                <c:pt idx="35">
                  <c:v>0.22561600000000001</c:v>
                </c:pt>
                <c:pt idx="36">
                  <c:v>0.18872000000010611</c:v>
                </c:pt>
                <c:pt idx="37">
                  <c:v>0.19116400000010855</c:v>
                </c:pt>
                <c:pt idx="38">
                  <c:v>0.16777600000008516</c:v>
                </c:pt>
                <c:pt idx="39">
                  <c:v>0.19740000000011479</c:v>
                </c:pt>
                <c:pt idx="40">
                  <c:v>0.23337600000015077</c:v>
                </c:pt>
                <c:pt idx="41">
                  <c:v>0.26668800000018406</c:v>
                </c:pt>
                <c:pt idx="42">
                  <c:v>0.20552000000012291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BF-44BA-A972-310D12D7358A}"/>
            </c:ext>
          </c:extLst>
        </c:ser>
        <c:ser>
          <c:idx val="4"/>
          <c:order val="4"/>
          <c:tx>
            <c:strRef>
              <c:f>multiSimOutput!$Z$1</c:f>
              <c:strCache>
                <c:ptCount val="1"/>
                <c:pt idx="0">
                  <c:v>STL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multiSimOutput!$Z$2:$Z$45</c:f>
              <c:numCache>
                <c:formatCode>0.00%</c:formatCode>
                <c:ptCount val="44"/>
                <c:pt idx="0">
                  <c:v>0.33189200000024927</c:v>
                </c:pt>
                <c:pt idx="1">
                  <c:v>0.33448000000025185</c:v>
                </c:pt>
                <c:pt idx="2">
                  <c:v>0.33051600000024789</c:v>
                </c:pt>
                <c:pt idx="3">
                  <c:v>0.29566000000021303</c:v>
                </c:pt>
                <c:pt idx="4">
                  <c:v>0.33518800000025256</c:v>
                </c:pt>
                <c:pt idx="5">
                  <c:v>0.29692000000021429</c:v>
                </c:pt>
                <c:pt idx="6">
                  <c:v>0.34090800000025828</c:v>
                </c:pt>
                <c:pt idx="7">
                  <c:v>0.37999200000029737</c:v>
                </c:pt>
                <c:pt idx="8">
                  <c:v>0.35116800000026854</c:v>
                </c:pt>
                <c:pt idx="9">
                  <c:v>0.39158400000030896</c:v>
                </c:pt>
                <c:pt idx="10">
                  <c:v>0.3899240000003073</c:v>
                </c:pt>
                <c:pt idx="11">
                  <c:v>0.42995600000034734</c:v>
                </c:pt>
                <c:pt idx="12">
                  <c:v>0.3715280000002889</c:v>
                </c:pt>
                <c:pt idx="13">
                  <c:v>0.3304240000002478</c:v>
                </c:pt>
                <c:pt idx="14">
                  <c:v>0.36919200000028657</c:v>
                </c:pt>
                <c:pt idx="15">
                  <c:v>0.33761200000000002</c:v>
                </c:pt>
                <c:pt idx="16">
                  <c:v>0.33790800000025528</c:v>
                </c:pt>
                <c:pt idx="17">
                  <c:v>0.36589200000028327</c:v>
                </c:pt>
                <c:pt idx="18">
                  <c:v>0.32036800000023774</c:v>
                </c:pt>
                <c:pt idx="19">
                  <c:v>0.2760320000001934</c:v>
                </c:pt>
                <c:pt idx="20">
                  <c:v>0.30640000000022377</c:v>
                </c:pt>
                <c:pt idx="21">
                  <c:v>0.33743200000025481</c:v>
                </c:pt>
                <c:pt idx="22">
                  <c:v>0.29940800000021678</c:v>
                </c:pt>
                <c:pt idx="23">
                  <c:v>0.30034000000021771</c:v>
                </c:pt>
                <c:pt idx="24">
                  <c:v>0.26168400000017905</c:v>
                </c:pt>
                <c:pt idx="25">
                  <c:v>0.21444800000013184</c:v>
                </c:pt>
                <c:pt idx="26">
                  <c:v>0.184616</c:v>
                </c:pt>
                <c:pt idx="27">
                  <c:v>0.21042400000012779</c:v>
                </c:pt>
                <c:pt idx="28">
                  <c:v>0.15989200000007728</c:v>
                </c:pt>
                <c:pt idx="29">
                  <c:v>0.18210000000009949</c:v>
                </c:pt>
                <c:pt idx="30">
                  <c:v>0.18189600000009928</c:v>
                </c:pt>
                <c:pt idx="31">
                  <c:v>0.20317200000012056</c:v>
                </c:pt>
                <c:pt idx="32">
                  <c:v>0.24327200000016069</c:v>
                </c:pt>
                <c:pt idx="33">
                  <c:v>0.21928400000013668</c:v>
                </c:pt>
                <c:pt idx="34">
                  <c:v>0.22386000000014125</c:v>
                </c:pt>
                <c:pt idx="35">
                  <c:v>0.21717600000013457</c:v>
                </c:pt>
                <c:pt idx="36">
                  <c:v>0.18550000000010289</c:v>
                </c:pt>
                <c:pt idx="37">
                  <c:v>0.18815600000010552</c:v>
                </c:pt>
                <c:pt idx="38">
                  <c:v>0.21715200000013457</c:v>
                </c:pt>
                <c:pt idx="39">
                  <c:v>0.19799200000011535</c:v>
                </c:pt>
                <c:pt idx="40">
                  <c:v>0.17193600000008932</c:v>
                </c:pt>
                <c:pt idx="41">
                  <c:v>0.14736400000006475</c:v>
                </c:pt>
                <c:pt idx="42">
                  <c:v>0.11944000000003684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BF-44BA-A972-310D12D73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02847"/>
        <c:axId val="341496007"/>
      </c:lineChart>
      <c:dateAx>
        <c:axId val="341502847"/>
        <c:scaling>
          <c:orientation val="minMax"/>
          <c:min val="45379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96007"/>
        <c:crosses val="autoZero"/>
        <c:auto val="1"/>
        <c:lblOffset val="100"/>
        <c:baseTimeUnit val="days"/>
      </c:dateAx>
      <c:valAx>
        <c:axId val="3414960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NL</a:t>
            </a:r>
            <a:r>
              <a:rPr lang="en-CA" baseline="0"/>
              <a:t> West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multiSimOutput!$AA$1</c:f>
              <c:strCache>
                <c:ptCount val="1"/>
                <c:pt idx="0">
                  <c:v>ARI</c:v>
                </c:pt>
              </c:strCache>
            </c:strRef>
          </c:tx>
          <c:spPr>
            <a:ln w="28575" cap="rnd">
              <a:solidFill>
                <a:srgbClr val="A71930"/>
              </a:solidFill>
              <a:round/>
            </a:ln>
            <a:effectLst/>
          </c:spPr>
          <c:marker>
            <c:symbol val="none"/>
          </c:marker>
          <c:val>
            <c:numRef>
              <c:f>multiSimOutput!$AA$2:$AA$45</c:f>
              <c:numCache>
                <c:formatCode>0.00%</c:formatCode>
                <c:ptCount val="44"/>
                <c:pt idx="0">
                  <c:v>0.16639600000008378</c:v>
                </c:pt>
                <c:pt idx="1">
                  <c:v>0.16616400000008355</c:v>
                </c:pt>
                <c:pt idx="2">
                  <c:v>0.45030800000036769</c:v>
                </c:pt>
                <c:pt idx="3">
                  <c:v>0.49373200000041112</c:v>
                </c:pt>
                <c:pt idx="4">
                  <c:v>0.46078800000037817</c:v>
                </c:pt>
                <c:pt idx="5">
                  <c:v>0.50164799999999998</c:v>
                </c:pt>
                <c:pt idx="6">
                  <c:v>0.4742600000003917</c:v>
                </c:pt>
                <c:pt idx="7">
                  <c:v>0.52477600000044211</c:v>
                </c:pt>
                <c:pt idx="8">
                  <c:v>0.49557600000041296</c:v>
                </c:pt>
                <c:pt idx="9">
                  <c:v>0.49386800000041126</c:v>
                </c:pt>
                <c:pt idx="10">
                  <c:v>0.44708400000036447</c:v>
                </c:pt>
                <c:pt idx="11">
                  <c:v>0.41328000000033066</c:v>
                </c:pt>
                <c:pt idx="12">
                  <c:v>0.38266000000029998</c:v>
                </c:pt>
                <c:pt idx="13">
                  <c:v>0.35367200000027105</c:v>
                </c:pt>
                <c:pt idx="14">
                  <c:v>0.38695200000030433</c:v>
                </c:pt>
                <c:pt idx="15">
                  <c:v>0.42074000000033812</c:v>
                </c:pt>
                <c:pt idx="16">
                  <c:v>0.42006000000033744</c:v>
                </c:pt>
                <c:pt idx="17">
                  <c:v>0.37393600000029131</c:v>
                </c:pt>
                <c:pt idx="18">
                  <c:v>0.39870400000031608</c:v>
                </c:pt>
                <c:pt idx="19">
                  <c:v>0.44684000000036422</c:v>
                </c:pt>
                <c:pt idx="20">
                  <c:v>0.41286800000033025</c:v>
                </c:pt>
                <c:pt idx="21">
                  <c:v>0.440612</c:v>
                </c:pt>
                <c:pt idx="22">
                  <c:v>0.40646000000032384</c:v>
                </c:pt>
                <c:pt idx="23">
                  <c:v>0.36158000000027896</c:v>
                </c:pt>
                <c:pt idx="24">
                  <c:v>0.43654400000035393</c:v>
                </c:pt>
                <c:pt idx="25">
                  <c:v>0.3944200000003118</c:v>
                </c:pt>
                <c:pt idx="26">
                  <c:v>0.41931200000033669</c:v>
                </c:pt>
                <c:pt idx="27">
                  <c:v>0.37555200000029298</c:v>
                </c:pt>
                <c:pt idx="28">
                  <c:v>0.42839200000034577</c:v>
                </c:pt>
                <c:pt idx="29">
                  <c:v>0.37704800000029443</c:v>
                </c:pt>
                <c:pt idx="30">
                  <c:v>0.37491600000029229</c:v>
                </c:pt>
                <c:pt idx="31">
                  <c:v>0.32329200000024066</c:v>
                </c:pt>
                <c:pt idx="32">
                  <c:v>0.29689200000021426</c:v>
                </c:pt>
                <c:pt idx="33">
                  <c:v>0.33910400000025648</c:v>
                </c:pt>
                <c:pt idx="34">
                  <c:v>0.30518000000022255</c:v>
                </c:pt>
                <c:pt idx="35">
                  <c:v>0.34309200000026047</c:v>
                </c:pt>
                <c:pt idx="36">
                  <c:v>0.28814800000020552</c:v>
                </c:pt>
                <c:pt idx="37">
                  <c:v>0.28744000000020481</c:v>
                </c:pt>
                <c:pt idx="38">
                  <c:v>0.24288400000016028</c:v>
                </c:pt>
                <c:pt idx="39">
                  <c:v>0.19452800000011192</c:v>
                </c:pt>
                <c:pt idx="40">
                  <c:v>0.23779200000015521</c:v>
                </c:pt>
                <c:pt idx="41">
                  <c:v>0.23248400000014988</c:v>
                </c:pt>
                <c:pt idx="42">
                  <c:v>0.25616000000017353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2D-4DC0-A033-3C5C6CF178BC}"/>
            </c:ext>
          </c:extLst>
        </c:ser>
        <c:ser>
          <c:idx val="0"/>
          <c:order val="1"/>
          <c:tx>
            <c:strRef>
              <c:f>multiSimOutput!$AB$1</c:f>
              <c:strCache>
                <c:ptCount val="1"/>
                <c:pt idx="0">
                  <c:v>COL</c:v>
                </c:pt>
              </c:strCache>
            </c:strRef>
          </c:tx>
          <c:spPr>
            <a:ln w="28575" cap="rnd">
              <a:solidFill>
                <a:srgbClr val="333366"/>
              </a:solidFill>
              <a:round/>
            </a:ln>
            <a:effectLst/>
          </c:spPr>
          <c:marker>
            <c:symbol val="none"/>
          </c:marker>
          <c:cat>
            <c:numRef>
              <c:f>multiSimOutput!$A$2:$A$45</c:f>
              <c:numCache>
                <c:formatCode>m/d/yyyy</c:formatCode>
                <c:ptCount val="44"/>
                <c:pt idx="0">
                  <c:v>45371</c:v>
                </c:pt>
                <c:pt idx="1">
                  <c:v>45372</c:v>
                </c:pt>
                <c:pt idx="2">
                  <c:v>45379</c:v>
                </c:pt>
                <c:pt idx="3">
                  <c:v>45380</c:v>
                </c:pt>
                <c:pt idx="4">
                  <c:v>45381</c:v>
                </c:pt>
                <c:pt idx="5">
                  <c:v>45382</c:v>
                </c:pt>
                <c:pt idx="6">
                  <c:v>45383</c:v>
                </c:pt>
                <c:pt idx="7">
                  <c:v>45384</c:v>
                </c:pt>
                <c:pt idx="8">
                  <c:v>45385</c:v>
                </c:pt>
                <c:pt idx="9">
                  <c:v>45386</c:v>
                </c:pt>
                <c:pt idx="10">
                  <c:v>45387</c:v>
                </c:pt>
                <c:pt idx="11">
                  <c:v>45388</c:v>
                </c:pt>
                <c:pt idx="12">
                  <c:v>45389</c:v>
                </c:pt>
                <c:pt idx="13">
                  <c:v>45390</c:v>
                </c:pt>
                <c:pt idx="14">
                  <c:v>45391</c:v>
                </c:pt>
                <c:pt idx="15">
                  <c:v>45392</c:v>
                </c:pt>
                <c:pt idx="16">
                  <c:v>45393</c:v>
                </c:pt>
                <c:pt idx="17">
                  <c:v>45394</c:v>
                </c:pt>
                <c:pt idx="18">
                  <c:v>45395</c:v>
                </c:pt>
                <c:pt idx="19">
                  <c:v>45396</c:v>
                </c:pt>
                <c:pt idx="20">
                  <c:v>45397</c:v>
                </c:pt>
                <c:pt idx="21">
                  <c:v>45398</c:v>
                </c:pt>
                <c:pt idx="22">
                  <c:v>45399</c:v>
                </c:pt>
                <c:pt idx="23">
                  <c:v>45400</c:v>
                </c:pt>
                <c:pt idx="24">
                  <c:v>45401</c:v>
                </c:pt>
                <c:pt idx="25">
                  <c:v>45402</c:v>
                </c:pt>
                <c:pt idx="26">
                  <c:v>45403</c:v>
                </c:pt>
                <c:pt idx="27">
                  <c:v>45404</c:v>
                </c:pt>
                <c:pt idx="28">
                  <c:v>45405</c:v>
                </c:pt>
                <c:pt idx="29">
                  <c:v>45406</c:v>
                </c:pt>
                <c:pt idx="30">
                  <c:v>45407</c:v>
                </c:pt>
                <c:pt idx="31">
                  <c:v>45408</c:v>
                </c:pt>
                <c:pt idx="32">
                  <c:v>45409</c:v>
                </c:pt>
                <c:pt idx="33">
                  <c:v>45410</c:v>
                </c:pt>
                <c:pt idx="34">
                  <c:v>45411</c:v>
                </c:pt>
                <c:pt idx="35">
                  <c:v>45412</c:v>
                </c:pt>
                <c:pt idx="36">
                  <c:v>45413</c:v>
                </c:pt>
                <c:pt idx="37">
                  <c:v>45414</c:v>
                </c:pt>
                <c:pt idx="38">
                  <c:v>45415</c:v>
                </c:pt>
                <c:pt idx="39">
                  <c:v>45416</c:v>
                </c:pt>
                <c:pt idx="40">
                  <c:v>45417</c:v>
                </c:pt>
                <c:pt idx="41">
                  <c:v>45418</c:v>
                </c:pt>
                <c:pt idx="42">
                  <c:v>45419</c:v>
                </c:pt>
              </c:numCache>
            </c:numRef>
          </c:cat>
          <c:val>
            <c:numRef>
              <c:f>multiSimOutput!$AB$2:$AB$45</c:f>
              <c:numCache>
                <c:formatCode>0.00%</c:formatCode>
                <c:ptCount val="44"/>
                <c:pt idx="0">
                  <c:v>0.16707200000008446</c:v>
                </c:pt>
                <c:pt idx="1">
                  <c:v>0.16590000000008329</c:v>
                </c:pt>
                <c:pt idx="2">
                  <c:v>0.35625600000027363</c:v>
                </c:pt>
                <c:pt idx="3">
                  <c:v>0.31029200000022766</c:v>
                </c:pt>
                <c:pt idx="4">
                  <c:v>0.34294800000026032</c:v>
                </c:pt>
                <c:pt idx="5">
                  <c:v>0.29940000000021677</c:v>
                </c:pt>
                <c:pt idx="6">
                  <c:v>0.27265600000000001</c:v>
                </c:pt>
                <c:pt idx="7">
                  <c:v>0.23500000000015239</c:v>
                </c:pt>
                <c:pt idx="8">
                  <c:v>0.21206400000012943</c:v>
                </c:pt>
                <c:pt idx="9">
                  <c:v>0.2098120000001272</c:v>
                </c:pt>
                <c:pt idx="10">
                  <c:v>0.23237200000014976</c:v>
                </c:pt>
                <c:pt idx="11">
                  <c:v>0.20725200000012464</c:v>
                </c:pt>
                <c:pt idx="12">
                  <c:v>0.18266400000010005</c:v>
                </c:pt>
                <c:pt idx="13">
                  <c:v>0.20497200000012236</c:v>
                </c:pt>
                <c:pt idx="14">
                  <c:v>0.1790080000000964</c:v>
                </c:pt>
                <c:pt idx="15">
                  <c:v>0.15436800000007175</c:v>
                </c:pt>
                <c:pt idx="16">
                  <c:v>0.15417200000007156</c:v>
                </c:pt>
                <c:pt idx="17">
                  <c:v>0.17976400000009715</c:v>
                </c:pt>
                <c:pt idx="18">
                  <c:v>0.14986000000006724</c:v>
                </c:pt>
                <c:pt idx="19">
                  <c:v>0.1239040000000413</c:v>
                </c:pt>
                <c:pt idx="20">
                  <c:v>0.10456400000002196</c:v>
                </c:pt>
                <c:pt idx="21">
                  <c:v>8.3491999999999997E-2</c:v>
                </c:pt>
                <c:pt idx="22">
                  <c:v>7.2728000000000001E-2</c:v>
                </c:pt>
                <c:pt idx="23">
                  <c:v>7.2711999999999999E-2</c:v>
                </c:pt>
                <c:pt idx="24">
                  <c:v>7.3300000000000004E-2</c:v>
                </c:pt>
                <c:pt idx="25">
                  <c:v>5.8967999999982486E-2</c:v>
                </c:pt>
                <c:pt idx="26">
                  <c:v>4.9804000000000001E-2</c:v>
                </c:pt>
                <c:pt idx="27">
                  <c:v>3.8608000000000003E-2</c:v>
                </c:pt>
                <c:pt idx="28">
                  <c:v>4.5387999999999998E-2</c:v>
                </c:pt>
                <c:pt idx="29">
                  <c:v>3.5288E-2</c:v>
                </c:pt>
                <c:pt idx="30">
                  <c:v>4.2664000000000001E-2</c:v>
                </c:pt>
                <c:pt idx="31">
                  <c:v>4.1208000000000002E-2</c:v>
                </c:pt>
                <c:pt idx="32">
                  <c:v>3.2543999999999997E-2</c:v>
                </c:pt>
                <c:pt idx="33">
                  <c:v>2.5932000000002144E-2</c:v>
                </c:pt>
                <c:pt idx="34">
                  <c:v>2.6604000000002234E-2</c:v>
                </c:pt>
                <c:pt idx="35">
                  <c:v>2.0976000000001487E-2</c:v>
                </c:pt>
                <c:pt idx="36">
                  <c:v>1.5608000000000774E-2</c:v>
                </c:pt>
                <c:pt idx="37">
                  <c:v>1.1852000000000276E-2</c:v>
                </c:pt>
                <c:pt idx="38">
                  <c:v>1.5144000000000712E-2</c:v>
                </c:pt>
                <c:pt idx="39">
                  <c:v>1.2200000000000322E-2</c:v>
                </c:pt>
                <c:pt idx="40">
                  <c:v>9.6559999999999997E-3</c:v>
                </c:pt>
                <c:pt idx="41">
                  <c:v>9.3760000000000007E-3</c:v>
                </c:pt>
                <c:pt idx="42">
                  <c:v>6.0719999999998865E-3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D-4DC0-A033-3C5C6CF178BC}"/>
            </c:ext>
          </c:extLst>
        </c:ser>
        <c:ser>
          <c:idx val="1"/>
          <c:order val="2"/>
          <c:tx>
            <c:strRef>
              <c:f>multiSimOutput!$AC$1</c:f>
              <c:strCache>
                <c:ptCount val="1"/>
                <c:pt idx="0">
                  <c:v>LAD</c:v>
                </c:pt>
              </c:strCache>
            </c:strRef>
          </c:tx>
          <c:spPr>
            <a:ln w="28575" cap="rnd">
              <a:solidFill>
                <a:srgbClr val="083C6B"/>
              </a:solidFill>
              <a:round/>
            </a:ln>
            <a:effectLst/>
          </c:spPr>
          <c:marker>
            <c:symbol val="none"/>
          </c:marker>
          <c:val>
            <c:numRef>
              <c:f>multiSimOutput!$AC$2:$AC$45</c:f>
              <c:numCache>
                <c:formatCode>0.00%</c:formatCode>
                <c:ptCount val="44"/>
                <c:pt idx="0">
                  <c:v>1.0000000000009173</c:v>
                </c:pt>
                <c:pt idx="1">
                  <c:v>1.0000000000009173</c:v>
                </c:pt>
                <c:pt idx="2">
                  <c:v>0.44408400000036147</c:v>
                </c:pt>
                <c:pt idx="3">
                  <c:v>0.47664000000000001</c:v>
                </c:pt>
                <c:pt idx="4">
                  <c:v>0.44723200000036462</c:v>
                </c:pt>
                <c:pt idx="5">
                  <c:v>0.4800120000003974</c:v>
                </c:pt>
                <c:pt idx="6">
                  <c:v>0.53167200000000003</c:v>
                </c:pt>
                <c:pt idx="7">
                  <c:v>0.56198000000047932</c:v>
                </c:pt>
                <c:pt idx="8">
                  <c:v>0.60402800000052137</c:v>
                </c:pt>
                <c:pt idx="9">
                  <c:v>0.60180800000051915</c:v>
                </c:pt>
                <c:pt idx="10">
                  <c:v>0.56012800000047747</c:v>
                </c:pt>
                <c:pt idx="11">
                  <c:v>0.60214800000051949</c:v>
                </c:pt>
                <c:pt idx="12">
                  <c:v>0.56176800000047911</c:v>
                </c:pt>
                <c:pt idx="13">
                  <c:v>0.59238400000050973</c:v>
                </c:pt>
                <c:pt idx="14">
                  <c:v>0.63144400000054879</c:v>
                </c:pt>
                <c:pt idx="15">
                  <c:v>0.59642800000051377</c:v>
                </c:pt>
                <c:pt idx="16">
                  <c:v>0.59748400000051483</c:v>
                </c:pt>
                <c:pt idx="17">
                  <c:v>0.56467599999999996</c:v>
                </c:pt>
                <c:pt idx="18">
                  <c:v>0.59602000000051336</c:v>
                </c:pt>
                <c:pt idx="19">
                  <c:v>0.5563640000004737</c:v>
                </c:pt>
                <c:pt idx="20">
                  <c:v>0.51604000000043337</c:v>
                </c:pt>
                <c:pt idx="21">
                  <c:v>0.5558640000004732</c:v>
                </c:pt>
                <c:pt idx="22">
                  <c:v>0.52237600000043971</c:v>
                </c:pt>
                <c:pt idx="23">
                  <c:v>0.52312400000044046</c:v>
                </c:pt>
                <c:pt idx="24">
                  <c:v>0.47416000000039155</c:v>
                </c:pt>
                <c:pt idx="25">
                  <c:v>0.4397200000003571</c:v>
                </c:pt>
                <c:pt idx="26">
                  <c:v>0.49242000000040981</c:v>
                </c:pt>
                <c:pt idx="27">
                  <c:v>0.49059199999999997</c:v>
                </c:pt>
                <c:pt idx="28">
                  <c:v>0.51474400000043208</c:v>
                </c:pt>
                <c:pt idx="29">
                  <c:v>0.56681600000048415</c:v>
                </c:pt>
                <c:pt idx="30">
                  <c:v>0.60438000000052172</c:v>
                </c:pt>
                <c:pt idx="31">
                  <c:v>0.66210800000057946</c:v>
                </c:pt>
                <c:pt idx="32">
                  <c:v>0.71306000000063041</c:v>
                </c:pt>
                <c:pt idx="33">
                  <c:v>0.68500400000060235</c:v>
                </c:pt>
                <c:pt idx="34">
                  <c:v>0.73240000000064975</c:v>
                </c:pt>
                <c:pt idx="35">
                  <c:v>0.70460400000000001</c:v>
                </c:pt>
                <c:pt idx="36">
                  <c:v>0.75320000000067056</c:v>
                </c:pt>
                <c:pt idx="37">
                  <c:v>0.7528400000006702</c:v>
                </c:pt>
                <c:pt idx="38">
                  <c:v>0.7883400000007057</c:v>
                </c:pt>
                <c:pt idx="39">
                  <c:v>0.8340360000007514</c:v>
                </c:pt>
                <c:pt idx="40">
                  <c:v>0.86538800000078275</c:v>
                </c:pt>
                <c:pt idx="41">
                  <c:v>0.88434800000080172</c:v>
                </c:pt>
                <c:pt idx="42">
                  <c:v>0.90044000000081781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2D-4DC0-A033-3C5C6CF178BC}"/>
            </c:ext>
          </c:extLst>
        </c:ser>
        <c:ser>
          <c:idx val="2"/>
          <c:order val="3"/>
          <c:tx>
            <c:strRef>
              <c:f>multiSimOutput!$AD$1</c:f>
              <c:strCache>
                <c:ptCount val="1"/>
                <c:pt idx="0">
                  <c:v>SDP</c:v>
                </c:pt>
              </c:strCache>
            </c:strRef>
          </c:tx>
          <c:spPr>
            <a:ln w="28575" cap="rnd">
              <a:solidFill>
                <a:srgbClr val="473729"/>
              </a:solidFill>
              <a:round/>
            </a:ln>
            <a:effectLst/>
          </c:spPr>
          <c:marker>
            <c:symbol val="none"/>
          </c:marker>
          <c:val>
            <c:numRef>
              <c:f>multiSimOutput!$AD$2:$AD$45</c:f>
              <c:numCache>
                <c:formatCode>0.00%</c:formatCode>
                <c:ptCount val="44"/>
                <c:pt idx="0">
                  <c:v>1.0000000000009173</c:v>
                </c:pt>
                <c:pt idx="1">
                  <c:v>1.0000000000009173</c:v>
                </c:pt>
                <c:pt idx="2">
                  <c:v>0.4381760000003555</c:v>
                </c:pt>
                <c:pt idx="3">
                  <c:v>0.39204000000030942</c:v>
                </c:pt>
                <c:pt idx="4">
                  <c:v>0.35721200000027459</c:v>
                </c:pt>
                <c:pt idx="5">
                  <c:v>0.4042200000003216</c:v>
                </c:pt>
                <c:pt idx="6">
                  <c:v>0.36910400000028648</c:v>
                </c:pt>
                <c:pt idx="7">
                  <c:v>0.33083600000024821</c:v>
                </c:pt>
                <c:pt idx="8">
                  <c:v>0.36767600000028505</c:v>
                </c:pt>
                <c:pt idx="9">
                  <c:v>0.36668000000028406</c:v>
                </c:pt>
                <c:pt idx="10">
                  <c:v>0.33967600000025705</c:v>
                </c:pt>
                <c:pt idx="11">
                  <c:v>0.37740800000029479</c:v>
                </c:pt>
                <c:pt idx="12">
                  <c:v>0.34664800000000001</c:v>
                </c:pt>
                <c:pt idx="13">
                  <c:v>0.37635600000029373</c:v>
                </c:pt>
                <c:pt idx="14">
                  <c:v>0.33641600000025379</c:v>
                </c:pt>
                <c:pt idx="15">
                  <c:v>0.38648800000030387</c:v>
                </c:pt>
                <c:pt idx="16">
                  <c:v>0.3864240000003038</c:v>
                </c:pt>
                <c:pt idx="17">
                  <c:v>0.41324800000033063</c:v>
                </c:pt>
                <c:pt idx="18">
                  <c:v>0.36465600000028198</c:v>
                </c:pt>
                <c:pt idx="19">
                  <c:v>0.4030600000003205</c:v>
                </c:pt>
                <c:pt idx="20">
                  <c:v>0.44315600000036054</c:v>
                </c:pt>
                <c:pt idx="21">
                  <c:v>0.47808800000039547</c:v>
                </c:pt>
                <c:pt idx="22">
                  <c:v>0.44872800000036611</c:v>
                </c:pt>
                <c:pt idx="23">
                  <c:v>0.44873600000036612</c:v>
                </c:pt>
                <c:pt idx="24">
                  <c:v>0.41145200000032878</c:v>
                </c:pt>
                <c:pt idx="25">
                  <c:v>0.37237200000028975</c:v>
                </c:pt>
                <c:pt idx="26">
                  <c:v>0.40374000000032112</c:v>
                </c:pt>
                <c:pt idx="27">
                  <c:v>0.44005600000035744</c:v>
                </c:pt>
                <c:pt idx="28">
                  <c:v>0.38489600000030227</c:v>
                </c:pt>
                <c:pt idx="29">
                  <c:v>0.41835200000033573</c:v>
                </c:pt>
                <c:pt idx="30">
                  <c:v>0.37901200000029639</c:v>
                </c:pt>
                <c:pt idx="31">
                  <c:v>0.32271200000024008</c:v>
                </c:pt>
                <c:pt idx="32">
                  <c:v>0.28741200000020478</c:v>
                </c:pt>
                <c:pt idx="33">
                  <c:v>0.25858400000017595</c:v>
                </c:pt>
                <c:pt idx="34">
                  <c:v>0.22938800000014681</c:v>
                </c:pt>
                <c:pt idx="35">
                  <c:v>0.26876400000018613</c:v>
                </c:pt>
                <c:pt idx="36">
                  <c:v>0.30409200000022146</c:v>
                </c:pt>
                <c:pt idx="37">
                  <c:v>0.30354000000022091</c:v>
                </c:pt>
                <c:pt idx="38">
                  <c:v>0.34704800000026442</c:v>
                </c:pt>
                <c:pt idx="39">
                  <c:v>0.41936400000033675</c:v>
                </c:pt>
                <c:pt idx="40">
                  <c:v>0.37095200000028833</c:v>
                </c:pt>
                <c:pt idx="41">
                  <c:v>0.41067600000032806</c:v>
                </c:pt>
                <c:pt idx="42">
                  <c:v>0.35726800000027464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2D-4DC0-A033-3C5C6CF178BC}"/>
            </c:ext>
          </c:extLst>
        </c:ser>
        <c:ser>
          <c:idx val="3"/>
          <c:order val="4"/>
          <c:tx>
            <c:strRef>
              <c:f>multiSimOutput!$AE$1</c:f>
              <c:strCache>
                <c:ptCount val="1"/>
                <c:pt idx="0">
                  <c:v>SFG</c:v>
                </c:pt>
              </c:strCache>
            </c:strRef>
          </c:tx>
          <c:spPr>
            <a:ln w="28575" cap="rnd">
              <a:solidFill>
                <a:srgbClr val="F2552C"/>
              </a:solidFill>
              <a:round/>
            </a:ln>
            <a:effectLst/>
          </c:spPr>
          <c:marker>
            <c:symbol val="none"/>
          </c:marker>
          <c:val>
            <c:numRef>
              <c:f>multiSimOutput!$AE$2:$AE$45</c:f>
              <c:numCache>
                <c:formatCode>0.00%</c:formatCode>
                <c:ptCount val="44"/>
                <c:pt idx="0">
                  <c:v>0.16566400000008305</c:v>
                </c:pt>
                <c:pt idx="1">
                  <c:v>0.1668160000000842</c:v>
                </c:pt>
                <c:pt idx="2">
                  <c:v>0.35627600000027365</c:v>
                </c:pt>
                <c:pt idx="3">
                  <c:v>0.41440800000033179</c:v>
                </c:pt>
                <c:pt idx="4">
                  <c:v>0.45603600000037342</c:v>
                </c:pt>
                <c:pt idx="5">
                  <c:v>0.38604800000030343</c:v>
                </c:pt>
                <c:pt idx="6">
                  <c:v>0.34565600000026303</c:v>
                </c:pt>
                <c:pt idx="7">
                  <c:v>0.31384800000023122</c:v>
                </c:pt>
                <c:pt idx="8">
                  <c:v>0.28575200000020312</c:v>
                </c:pt>
                <c:pt idx="9">
                  <c:v>0.28488000000020225</c:v>
                </c:pt>
                <c:pt idx="10">
                  <c:v>0.3261280000002435</c:v>
                </c:pt>
                <c:pt idx="11">
                  <c:v>0.28466000000020203</c:v>
                </c:pt>
                <c:pt idx="12">
                  <c:v>0.3155280000002329</c:v>
                </c:pt>
                <c:pt idx="13">
                  <c:v>0.26828800000018566</c:v>
                </c:pt>
                <c:pt idx="14">
                  <c:v>0.23568000000015307</c:v>
                </c:pt>
                <c:pt idx="15">
                  <c:v>0.27331200000019068</c:v>
                </c:pt>
                <c:pt idx="16">
                  <c:v>0.27412000000019149</c:v>
                </c:pt>
                <c:pt idx="17">
                  <c:v>0.23754400000015496</c:v>
                </c:pt>
                <c:pt idx="18">
                  <c:v>0.27850800000019588</c:v>
                </c:pt>
                <c:pt idx="19">
                  <c:v>0.23873600000015613</c:v>
                </c:pt>
                <c:pt idx="20">
                  <c:v>0.26674800000018412</c:v>
                </c:pt>
                <c:pt idx="21">
                  <c:v>0.22718400000014455</c:v>
                </c:pt>
                <c:pt idx="22">
                  <c:v>0.2625360000001799</c:v>
                </c:pt>
                <c:pt idx="23">
                  <c:v>0.30435600000022173</c:v>
                </c:pt>
                <c:pt idx="24">
                  <c:v>0.23455600000015195</c:v>
                </c:pt>
                <c:pt idx="25">
                  <c:v>0.27682400000019419</c:v>
                </c:pt>
                <c:pt idx="26">
                  <c:v>0.23475200000015217</c:v>
                </c:pt>
                <c:pt idx="27">
                  <c:v>0.26449200000018186</c:v>
                </c:pt>
                <c:pt idx="28">
                  <c:v>0.29714000000021451</c:v>
                </c:pt>
                <c:pt idx="29">
                  <c:v>0.24592000000016331</c:v>
                </c:pt>
                <c:pt idx="30">
                  <c:v>0.24207600000015947</c:v>
                </c:pt>
                <c:pt idx="31">
                  <c:v>0.27030800000018768</c:v>
                </c:pt>
                <c:pt idx="32">
                  <c:v>0.24481200000016221</c:v>
                </c:pt>
                <c:pt idx="33">
                  <c:v>0.27936000000019673</c:v>
                </c:pt>
                <c:pt idx="34">
                  <c:v>0.28502400000020239</c:v>
                </c:pt>
                <c:pt idx="35">
                  <c:v>0.2518360000001692</c:v>
                </c:pt>
                <c:pt idx="36">
                  <c:v>0.21152400000012891</c:v>
                </c:pt>
                <c:pt idx="37">
                  <c:v>0.24352000000016091</c:v>
                </c:pt>
                <c:pt idx="38">
                  <c:v>0.21327600000013067</c:v>
                </c:pt>
                <c:pt idx="39">
                  <c:v>0.1728080000000902</c:v>
                </c:pt>
                <c:pt idx="40">
                  <c:v>0.1534120000000708</c:v>
                </c:pt>
                <c:pt idx="41">
                  <c:v>0.12353200000004091</c:v>
                </c:pt>
                <c:pt idx="42">
                  <c:v>0.14208800000005947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2D-4DC0-A033-3C5C6CF17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02847"/>
        <c:axId val="341496007"/>
      </c:lineChart>
      <c:catAx>
        <c:axId val="341502847"/>
        <c:scaling>
          <c:orientation val="minMax"/>
          <c:min val="9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96007"/>
        <c:crosses val="autoZero"/>
        <c:auto val="1"/>
        <c:lblAlgn val="ctr"/>
        <c:lblOffset val="100"/>
        <c:noMultiLvlLbl val="0"/>
      </c:catAx>
      <c:valAx>
        <c:axId val="3414960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7</xdr:col>
      <xdr:colOff>915187</xdr:colOff>
      <xdr:row>14</xdr:row>
      <xdr:rowOff>273845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B5BF1F-A8DB-4CA2-A48E-0330FE813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915187</xdr:colOff>
      <xdr:row>14</xdr:row>
      <xdr:rowOff>277019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3B48193-6E0A-4942-B471-90477D022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915187</xdr:colOff>
      <xdr:row>14</xdr:row>
      <xdr:rowOff>277019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5F1AD1A-4C86-489F-848C-13BA6594A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915187</xdr:colOff>
      <xdr:row>29</xdr:row>
      <xdr:rowOff>277019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0296AAA-3423-4C45-A044-1891E41F0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915187</xdr:colOff>
      <xdr:row>29</xdr:row>
      <xdr:rowOff>277019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C3C4EC5-8F50-4DFC-8A2D-E60B8D89C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23</xdr:col>
      <xdr:colOff>915187</xdr:colOff>
      <xdr:row>29</xdr:row>
      <xdr:rowOff>277019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3FE7CC5-B901-4CA9-8F10-BA7A40588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D2717F3-3E59-4341-B586-1D28EB589E02}" autoFormatId="16" applyNumberFormats="0" applyBorderFormats="0" applyFontFormats="0" applyPatternFormats="0" applyAlignmentFormats="0" applyWidthHeightFormats="0">
  <queryTableRefresh nextId="19" unboundColumnsLeft="1" unboundColumnsRight="1">
    <queryTableFields count="18">
      <queryTableField id="18" dataBound="0" tableColumnId="18"/>
      <queryTableField id="1" name="American League" tableColumnId="1"/>
      <queryTableField id="2" name="W" tableColumnId="2"/>
      <queryTableField id="3" name="L" tableColumnId="3"/>
      <queryTableField id="4" name="PCT" tableColumnId="4"/>
      <queryTableField id="5" name="GB" tableColumnId="5"/>
      <queryTableField id="6" name="WCGB" tableColumnId="6"/>
      <queryTableField id="7" name="L10" tableColumnId="7"/>
      <queryTableField id="8" name="STRK" tableColumnId="8"/>
      <queryTableField id="9" name="RS" tableColumnId="9"/>
      <queryTableField id="10" name="RA" tableColumnId="10"/>
      <queryTableField id="11" name="DIFF" tableColumnId="11"/>
      <queryTableField id="12" name="X-W/L" tableColumnId="12"/>
      <queryTableField id="13" name="HOME" tableColumnId="13"/>
      <queryTableField id="14" name="AWAY" tableColumnId="14"/>
      <queryTableField id="15" name="&gt;.500" tableColumnId="15"/>
      <queryTableField id="16" name="Next Game" tableColumnId="16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6D3170B-FE5F-4F28-9E89-2F8E18930C0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4FD91E-8720-4054-B392-0E4C2D3C3A45}" autoFormatId="16" applyNumberFormats="0" applyBorderFormats="0" applyFontFormats="0" applyPatternFormats="0" applyAlignmentFormats="0" applyWidthHeightFormats="0">
  <queryTableRefresh nextId="32">
    <queryTableFields count="31">
      <queryTableField id="1" name="Column1" tableColumnId="1"/>
      <queryTableField id="2" name="BAL" tableColumnId="2"/>
      <queryTableField id="3" name="BOS" tableColumnId="3"/>
      <queryTableField id="4" name="NYY" tableColumnId="4"/>
      <queryTableField id="5" name="TBR" tableColumnId="5"/>
      <queryTableField id="6" name="TOR" tableColumnId="6"/>
      <queryTableField id="7" name="CLE" tableColumnId="7"/>
      <queryTableField id="8" name="CHW" tableColumnId="8"/>
      <queryTableField id="9" name="DET" tableColumnId="9"/>
      <queryTableField id="10" name="KCR" tableColumnId="10"/>
      <queryTableField id="11" name="MIN" tableColumnId="11"/>
      <queryTableField id="12" name="HOU" tableColumnId="12"/>
      <queryTableField id="13" name="LAA" tableColumnId="13"/>
      <queryTableField id="14" name="OAK" tableColumnId="14"/>
      <queryTableField id="15" name="SEA" tableColumnId="15"/>
      <queryTableField id="16" name="TEX" tableColumnId="16"/>
      <queryTableField id="17" name="ATL" tableColumnId="17"/>
      <queryTableField id="18" name="MIA" tableColumnId="18"/>
      <queryTableField id="19" name="NYM" tableColumnId="19"/>
      <queryTableField id="20" name="PHI" tableColumnId="20"/>
      <queryTableField id="21" name="WSH" tableColumnId="21"/>
      <queryTableField id="22" name="CHC" tableColumnId="22"/>
      <queryTableField id="23" name="CIN" tableColumnId="23"/>
      <queryTableField id="24" name="MIL" tableColumnId="24"/>
      <queryTableField id="25" name="PIT" tableColumnId="25"/>
      <queryTableField id="26" name="STL" tableColumnId="26"/>
      <queryTableField id="27" name="ARI" tableColumnId="27"/>
      <queryTableField id="28" name="COL" tableColumnId="28"/>
      <queryTableField id="29" name="LAD" tableColumnId="29"/>
      <queryTableField id="30" name="SDP" tableColumnId="30"/>
      <queryTableField id="31" name="SFG" tableColumnId="3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3ADAF-C138-4E4B-A78C-71FE0A2F3088}" name="AL" displayName="AL" ref="B2:M17" totalsRowShown="0">
  <autoFilter ref="B2:M17" xr:uid="{EFE17348-9BDB-4300-BF41-137A307C0F89}"/>
  <sortState xmlns:xlrd2="http://schemas.microsoft.com/office/spreadsheetml/2017/richdata2" ref="B3:M17">
    <sortCondition descending="1" ref="E2:E17"/>
  </sortState>
  <tableColumns count="12">
    <tableColumn id="1" xr3:uid="{BC3BA804-7DBE-4C64-A055-F15A97050CA0}" name="AL" dataDxfId="87"/>
    <tableColumn id="2" xr3:uid="{31D7479A-C7D3-4953-87DD-AC2D79F70AF1}" name="W" dataDxfId="86">
      <calculatedColumnFormula>VLOOKUP(AL[[#This Row],[AL]],simOutput[],2,0)</calculatedColumnFormula>
    </tableColumn>
    <tableColumn id="3" xr3:uid="{E00AABCC-AB3C-43C6-B2E1-30994EC0B155}" name="L" dataDxfId="85">
      <calculatedColumnFormula>VLOOKUP(AL[[#This Row],[AL]],simOutput[],3,0)</calculatedColumnFormula>
    </tableColumn>
    <tableColumn id="4" xr3:uid="{3F3BB42A-0173-4DD5-AD38-376898294021}" name="%" dataDxfId="84">
      <calculatedColumnFormula>(AL[[#This Row],[W]]/AL[[#This Row],[GP]])-AL[[#This Row],[Tiebreak]]/100000</calculatedColumnFormula>
    </tableColumn>
    <tableColumn id="5" xr3:uid="{C09CC6E6-8AF4-4067-88DB-E6209102BE5D}" name="GP" dataDxfId="83">
      <calculatedColumnFormula>AL[[#This Row],[W]]+AL[[#This Row],[L]]</calculatedColumnFormula>
    </tableColumn>
    <tableColumn id="6" xr3:uid="{E8237F3A-1C86-4814-85B8-23A2098018EE}" name="GR" dataDxfId="82">
      <calculatedColumnFormula>162-AL[[#This Row],[GP]]</calculatedColumnFormula>
    </tableColumn>
    <tableColumn id="7" xr3:uid="{FE27E01D-5C5A-4E36-892E-4E07AB7DCE23}" name="WC Rank" dataDxfId="81">
      <calculatedColumnFormula>IF(AL[[#This Row],[%]]=_xlfn.MAXIFS(AL[%],AL[Division],AL[[#This Row],[Division]]),"Div. Lead",RANK(AL[[#This Row],[%]],AL[%]))</calculatedColumnFormula>
    </tableColumn>
    <tableColumn id="8" xr3:uid="{06C6B631-CBA8-4D67-83A8-2CBF90291B28}" name="Division" dataDxfId="80"/>
    <tableColumn id="9" xr3:uid="{C19341EA-5028-4439-806B-EAD671A101D2}" name="Tiebreak" dataDxfId="79">
      <calculatedColumnFormula>VLOOKUP(AL[[#This Row],[AL]],Table_0[],18,0)</calculatedColumnFormula>
    </tableColumn>
    <tableColumn id="11" xr3:uid="{97CB075C-3C1C-4D40-8ACB-12240A8CFEE6}" name="Rdiff-Sim" dataDxfId="78">
      <calculatedColumnFormula>VLOOKUP(AL[[#This Row],[AL]],simOutput[],5,0)</calculatedColumnFormula>
    </tableColumn>
    <tableColumn id="10" xr3:uid="{25BD31BB-110A-4C9F-9156-AB5CC4ED8AFE}" name="Rdiff-MLB" dataDxfId="77" dataCellStyle="Percent">
      <calculatedColumnFormula>VLOOKUP(AL[[#This Row],[AL]],Table_0[],12,0)</calculatedColumnFormula>
    </tableColumn>
    <tableColumn id="12" xr3:uid="{DD7669AB-3914-446B-84FA-CEB67A5FAB0A}" name="PS Odds" dataDxfId="76" dataCellStyle="Percent">
      <calculatedColumnFormula>VLOOKUP(AL[[#This Row],[AL]],simOutput[],4,0)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00C1F2-3D62-4795-BAC4-21B7678AAD5E}" name="NL" displayName="NL" ref="B19:M34" totalsRowShown="0">
  <autoFilter ref="B19:M34" xr:uid="{BA00C1F2-3D62-4795-BAC4-21B7678AAD5E}"/>
  <sortState xmlns:xlrd2="http://schemas.microsoft.com/office/spreadsheetml/2017/richdata2" ref="B20:M34">
    <sortCondition descending="1" ref="E19:E34"/>
  </sortState>
  <tableColumns count="12">
    <tableColumn id="1" xr3:uid="{0D859C46-5D51-4D5D-82C5-ACED32E0640C}" name="NL" dataDxfId="75"/>
    <tableColumn id="2" xr3:uid="{82C3CD7A-D506-4D3A-B257-BFB800EE0844}" name="W" dataDxfId="74">
      <calculatedColumnFormula>VLOOKUP(NL[[#This Row],[NL]],simOutput[],2,0)</calculatedColumnFormula>
    </tableColumn>
    <tableColumn id="3" xr3:uid="{B2FEA7D3-EB3A-40FA-8FFA-91CEDBB4E753}" name="L" dataDxfId="73">
      <calculatedColumnFormula>VLOOKUP(NL[[#This Row],[NL]],simOutput[],3,0)</calculatedColumnFormula>
    </tableColumn>
    <tableColumn id="4" xr3:uid="{67AD9999-1C2F-495A-A13F-43AA4CD495E8}" name="%" dataDxfId="72">
      <calculatedColumnFormula>(NL[[#This Row],[W]]/NL[[#This Row],[GP]])-NL[[#This Row],[Tiebreak]]/100000</calculatedColumnFormula>
    </tableColumn>
    <tableColumn id="5" xr3:uid="{4B874D20-D7B4-4526-AD26-C7491874307E}" name="GP" dataDxfId="71">
      <calculatedColumnFormula>NL[[#This Row],[W]]+NL[[#This Row],[L]]</calculatedColumnFormula>
    </tableColumn>
    <tableColumn id="6" xr3:uid="{44B25B9B-0181-423F-A3A5-869ADCCAC55B}" name="GR" dataDxfId="70">
      <calculatedColumnFormula>162-NL[[#This Row],[GP]]</calculatedColumnFormula>
    </tableColumn>
    <tableColumn id="7" xr3:uid="{13924428-D847-43A5-9081-E318C211C4F7}" name="WC Rank" dataDxfId="69">
      <calculatedColumnFormula>IF(NL[[#This Row],[%]]=_xlfn.MAXIFS(NL[%],NL[Division],NL[[#This Row],[Division]]),"Div. Lead",RANK(NL[[#This Row],[%]],NL[%]))</calculatedColumnFormula>
    </tableColumn>
    <tableColumn id="8" xr3:uid="{5DFF5DB0-E78B-4F77-903E-894AD62D42E0}" name="Division" dataDxfId="68"/>
    <tableColumn id="9" xr3:uid="{ECD22CE6-63B8-4C72-9ECA-11F91DC00A49}" name="Tiebreak" dataDxfId="67">
      <calculatedColumnFormula>VLOOKUP(NL[[#This Row],[NL]],Table_0[],18,0)</calculatedColumnFormula>
    </tableColumn>
    <tableColumn id="11" xr3:uid="{8F4BD3EA-2397-4E4C-AD16-2245FC394C68}" name="Rdiff-Sim" dataDxfId="66" dataCellStyle="Percent">
      <calculatedColumnFormula>VLOOKUP(NL[[#This Row],[NL]],simOutput[],5,0)</calculatedColumnFormula>
    </tableColumn>
    <tableColumn id="10" xr3:uid="{D3B88925-7855-4D46-B60D-A6296BB60B3B}" name="Rdiff-MLB" dataDxfId="65" dataCellStyle="Percent">
      <calculatedColumnFormula>VLOOKUP(NL[[#This Row],[NL]],Table_0[],12,0)</calculatedColumnFormula>
    </tableColumn>
    <tableColumn id="12" xr3:uid="{82F6BB61-2398-426F-98E1-60785DB0392C}" name="PS Odds" dataDxfId="64" dataCellStyle="Percent">
      <calculatedColumnFormula>VLOOKUP(NL[[#This Row],[NL]],simOutput[],4,0)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286AFA0-35C1-4251-B8E3-DDD755CDD1BA}" name="Table_0" displayName="Table_0" ref="A1:R32" tableType="queryTable" totalsRowShown="0">
  <autoFilter ref="A1:R32" xr:uid="{9286AFA0-35C1-4251-B8E3-DDD755CDD1BA}"/>
  <tableColumns count="18">
    <tableColumn id="18" xr3:uid="{8B648E60-AA9E-4FD0-999D-76C41C02302A}" uniqueName="18" name="Column2" queryTableFieldId="18" dataDxfId="63">
      <calculatedColumnFormula>VLOOKUP(B2,$B$34:$C$63,2,0)</calculatedColumnFormula>
    </tableColumn>
    <tableColumn id="1" xr3:uid="{7BFD1B1C-AE6F-4AB2-8C04-FA767EC2B3E0}" uniqueName="1" name="American League" queryTableFieldId="1" dataDxfId="62"/>
    <tableColumn id="2" xr3:uid="{9FF55972-74FE-42DE-A4D0-D4921E7B28B5}" uniqueName="2" name="W" queryTableFieldId="2" dataDxfId="61"/>
    <tableColumn id="3" xr3:uid="{6B6F5D6B-9EE9-4681-A7B5-E9E7D44AFBDC}" uniqueName="3" name="L" queryTableFieldId="3" dataDxfId="60"/>
    <tableColumn id="4" xr3:uid="{BC5487DF-792F-4649-81CE-EFCEC2D2722D}" uniqueName="4" name="PCT" queryTableFieldId="4" dataDxfId="59"/>
    <tableColumn id="5" xr3:uid="{5A0FB479-19EE-4A1A-B6FC-4A83F3B79269}" uniqueName="5" name="GB" queryTableFieldId="5" dataDxfId="58"/>
    <tableColumn id="6" xr3:uid="{9AB409C1-75E4-4DD7-B40B-6DE021AB190C}" uniqueName="6" name="WCGB" queryTableFieldId="6" dataDxfId="57"/>
    <tableColumn id="7" xr3:uid="{CD8E53EC-0347-4D91-B7AD-0D1DC434F403}" uniqueName="7" name="L10" queryTableFieldId="7" dataDxfId="56"/>
    <tableColumn id="8" xr3:uid="{4227660F-8665-4529-8508-CB690D8C6BF6}" uniqueName="8" name="STRK" queryTableFieldId="8" dataDxfId="55"/>
    <tableColumn id="9" xr3:uid="{123616CE-6584-40D7-92F9-5E51907D7485}" uniqueName="9" name="RS" queryTableFieldId="9" dataDxfId="54"/>
    <tableColumn id="10" xr3:uid="{5AC698D1-BE25-43F8-BA8C-0C05B44ADABB}" uniqueName="10" name="RA" queryTableFieldId="10" dataDxfId="53"/>
    <tableColumn id="11" xr3:uid="{34EB779D-EB8E-43F8-B14E-67277624554B}" uniqueName="11" name="DIFF" queryTableFieldId="11" dataDxfId="52"/>
    <tableColumn id="12" xr3:uid="{1BAD1E7D-9392-4F08-8259-B0B3B90AD4F9}" uniqueName="12" name="X-W/L" queryTableFieldId="12" dataDxfId="51"/>
    <tableColumn id="13" xr3:uid="{43476AE6-C56D-4030-BE6E-F4A9A62B9383}" uniqueName="13" name="HOME" queryTableFieldId="13" dataDxfId="50"/>
    <tableColumn id="14" xr3:uid="{04015F5A-CA9A-4C85-B7BB-8FCEC88BBB07}" uniqueName="14" name="AWAY" queryTableFieldId="14" dataDxfId="49"/>
    <tableColumn id="15" xr3:uid="{3C3E2AAA-81B3-4B8D-A8D7-40587E4C6464}" uniqueName="15" name="&gt;.500" queryTableFieldId="15" dataDxfId="48"/>
    <tableColumn id="16" xr3:uid="{580817DD-2D63-4D41-BDF9-82FE2BAB4AB4}" uniqueName="16" name="Next Game" queryTableFieldId="16" dataDxfId="47"/>
    <tableColumn id="17" xr3:uid="{C6B4AFF8-63D4-4819-8DE5-624295EAE5C0}" uniqueName="17" name="Column1" queryTableFieldId="17" dataDxfId="46">
      <calculatedColumnFormula>ROW()-1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DDF63A-9656-483B-ACB8-92444F737187}" name="simOutput" displayName="simOutput" ref="A1:E31" tableType="queryTable" totalsRowShown="0">
  <autoFilter ref="A1:E31" xr:uid="{F6DDF63A-9656-483B-ACB8-92444F737187}"/>
  <tableColumns count="5">
    <tableColumn id="1" xr3:uid="{6944DA57-9620-4BCC-B9B5-5CA3BC27FC31}" uniqueName="1" name="Column1" queryTableFieldId="1" dataDxfId="45"/>
    <tableColumn id="2" xr3:uid="{7FBDA046-6661-4B53-A45E-E7A0135CED63}" uniqueName="2" name="Column2" queryTableFieldId="2"/>
    <tableColumn id="3" xr3:uid="{DC1474C8-FC68-4EB1-884A-0F0E8E03B409}" uniqueName="3" name="Column3" queryTableFieldId="3"/>
    <tableColumn id="4" xr3:uid="{D94D0C32-1E75-4F8D-9B8D-6EE0A990E293}" uniqueName="4" name="Column4" queryTableFieldId="4"/>
    <tableColumn id="5" xr3:uid="{18E001D0-75D7-4B23-B4E8-F788FAEEDA16}" uniqueName="5" name="Column5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AE76E-71A3-450F-B146-1A7C4EB0350E}" name="multiSimOutput" displayName="multiSimOutput" ref="A1:AE44" tableType="queryTable" totalsRowShown="0" headerRowDxfId="44" dataDxfId="43" headerRowCellStyle="Percent" dataCellStyle="Percent">
  <autoFilter ref="A1:AE44" xr:uid="{190AE76E-71A3-450F-B146-1A7C4EB0350E}"/>
  <tableColumns count="31">
    <tableColumn id="1" xr3:uid="{E90D95AC-F69F-45BE-BA07-8D25BECEBD6C}" uniqueName="1" name="Column1" queryTableFieldId="1" dataDxfId="30" dataCellStyle="Percent"/>
    <tableColumn id="2" xr3:uid="{0E2BD8FA-34DB-4A6C-AB04-6D288065B6E8}" uniqueName="2" name="BAL" queryTableFieldId="2" dataDxfId="29" dataCellStyle="Percent"/>
    <tableColumn id="3" xr3:uid="{6A2EB73C-E2B2-49B2-B1D0-65F9D6A4BE8E}" uniqueName="3" name="BOS" queryTableFieldId="3" dataDxfId="28" dataCellStyle="Percent"/>
    <tableColumn id="4" xr3:uid="{25595550-DF9A-41D9-9E7E-C5D0EBC7ABC7}" uniqueName="4" name="NYY" queryTableFieldId="4" dataDxfId="27" dataCellStyle="Percent"/>
    <tableColumn id="5" xr3:uid="{658AA06F-0C3B-4BE9-AB7E-9DBF93A48187}" uniqueName="5" name="TBR" queryTableFieldId="5" dataDxfId="26" dataCellStyle="Percent"/>
    <tableColumn id="6" xr3:uid="{67783FFA-A5DB-4E9C-82BC-C170E84B968E}" uniqueName="6" name="TOR" queryTableFieldId="6" dataDxfId="25" dataCellStyle="Percent"/>
    <tableColumn id="7" xr3:uid="{1E266340-FA5D-4309-8DEA-848C59A0609E}" uniqueName="7" name="CLE" queryTableFieldId="7" dataDxfId="24" dataCellStyle="Percent"/>
    <tableColumn id="8" xr3:uid="{84B79AA8-8DB7-44A8-B15D-A22D664975E2}" uniqueName="8" name="CHW" queryTableFieldId="8" dataDxfId="23" dataCellStyle="Percent"/>
    <tableColumn id="9" xr3:uid="{C0AC53ED-63EF-48E2-BB61-BB2DBBA24137}" uniqueName="9" name="DET" queryTableFieldId="9" dataDxfId="22" dataCellStyle="Percent"/>
    <tableColumn id="10" xr3:uid="{485956F8-B95B-4BDF-B3A4-89653CA251C5}" uniqueName="10" name="KCR" queryTableFieldId="10" dataDxfId="21" dataCellStyle="Percent"/>
    <tableColumn id="11" xr3:uid="{1E9E736D-B326-44B3-A9FD-014CE1033389}" uniqueName="11" name="MIN" queryTableFieldId="11" dataDxfId="20" dataCellStyle="Percent"/>
    <tableColumn id="12" xr3:uid="{46B17A74-A871-4470-A3DE-03520AB4AEBE}" uniqueName="12" name="HOU" queryTableFieldId="12" dataDxfId="19" dataCellStyle="Percent"/>
    <tableColumn id="13" xr3:uid="{89CD7E68-CC6A-4FAC-82B6-96391BF2A2E3}" uniqueName="13" name="LAA" queryTableFieldId="13" dataDxfId="18" dataCellStyle="Percent"/>
    <tableColumn id="14" xr3:uid="{D47CFC0D-702A-431F-8496-7DCADAEDB342}" uniqueName="14" name="OAK" queryTableFieldId="14" dataDxfId="17" dataCellStyle="Percent"/>
    <tableColumn id="15" xr3:uid="{D02C2540-0AC6-4031-812F-BEBEC3BF032F}" uniqueName="15" name="SEA" queryTableFieldId="15" dataDxfId="16" dataCellStyle="Percent"/>
    <tableColumn id="16" xr3:uid="{2C46562A-657D-43AD-820F-9989F1F6A6E4}" uniqueName="16" name="TEX" queryTableFieldId="16" dataDxfId="15" dataCellStyle="Percent"/>
    <tableColumn id="17" xr3:uid="{865E2972-FDA5-4CC5-A515-BDB471FD952D}" uniqueName="17" name="ATL" queryTableFieldId="17" dataDxfId="14" dataCellStyle="Percent"/>
    <tableColumn id="18" xr3:uid="{285A7AB7-57CA-46CF-B445-624F8EA4442E}" uniqueName="18" name="MIA" queryTableFieldId="18" dataDxfId="13" dataCellStyle="Percent"/>
    <tableColumn id="19" xr3:uid="{BC046FE4-F749-448F-9230-7E1C9FB39E5C}" uniqueName="19" name="NYM" queryTableFieldId="19" dataDxfId="12" dataCellStyle="Percent"/>
    <tableColumn id="20" xr3:uid="{2B0208F7-B7FD-4AAD-88BF-2CCE24BEDAA6}" uniqueName="20" name="PHI" queryTableFieldId="20" dataDxfId="11" dataCellStyle="Percent"/>
    <tableColumn id="21" xr3:uid="{988DE3AB-CBF4-468A-BF5F-D31934B60BD7}" uniqueName="21" name="WSH" queryTableFieldId="21" dataDxfId="10" dataCellStyle="Percent"/>
    <tableColumn id="22" xr3:uid="{0730E547-6749-4725-B3A8-600A4C8942D7}" uniqueName="22" name="CHC" queryTableFieldId="22" dataDxfId="9" dataCellStyle="Percent"/>
    <tableColumn id="23" xr3:uid="{EBF5CAE8-D740-4A70-8BF5-D75C7447A7D5}" uniqueName="23" name="CIN" queryTableFieldId="23" dataDxfId="8" dataCellStyle="Percent"/>
    <tableColumn id="24" xr3:uid="{243813AC-E547-4B25-B671-EAEBFB537696}" uniqueName="24" name="MIL" queryTableFieldId="24" dataDxfId="7" dataCellStyle="Percent"/>
    <tableColumn id="25" xr3:uid="{AE60E322-A06F-4FDD-BFD0-9797F4A13B03}" uniqueName="25" name="PIT" queryTableFieldId="25" dataDxfId="6" dataCellStyle="Percent"/>
    <tableColumn id="26" xr3:uid="{31E2E85D-4607-4B83-A4C0-004C9D682796}" uniqueName="26" name="STL" queryTableFieldId="26" dataDxfId="5" dataCellStyle="Percent"/>
    <tableColumn id="27" xr3:uid="{9F39D816-D824-4E94-8880-57340383122B}" uniqueName="27" name="ARI" queryTableFieldId="27" dataDxfId="4" dataCellStyle="Percent"/>
    <tableColumn id="28" xr3:uid="{A9CCA57B-6EC3-40E4-A434-16C126A22FFE}" uniqueName="28" name="COL" queryTableFieldId="28" dataDxfId="3" dataCellStyle="Percent"/>
    <tableColumn id="29" xr3:uid="{4E30B5F8-5EC3-4747-A1BF-8EB72982565B}" uniqueName="29" name="LAD" queryTableFieldId="29" dataDxfId="2" dataCellStyle="Percent"/>
    <tableColumn id="30" xr3:uid="{FA04B7F3-1DB5-4354-9CB6-E89080A30AD2}" uniqueName="30" name="SDP" queryTableFieldId="30" dataDxfId="1" dataCellStyle="Percent"/>
    <tableColumn id="31" xr3:uid="{0BDDAF1F-3C15-4CF5-8233-361027643168}" uniqueName="31" name="SFG" queryTableFieldId="31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EDAA-4FD1-459E-8812-3020FABCF231}">
  <dimension ref="B1:AK34"/>
  <sheetViews>
    <sheetView zoomScaleNormal="100" workbookViewId="0">
      <selection activeCell="P34" sqref="P34"/>
    </sheetView>
  </sheetViews>
  <sheetFormatPr defaultRowHeight="14.5" x14ac:dyDescent="0.35"/>
  <cols>
    <col min="1" max="1" width="2.08984375" customWidth="1"/>
    <col min="2" max="2" width="12" customWidth="1"/>
    <col min="3" max="4" width="5.81640625" customWidth="1"/>
    <col min="5" max="5" width="7.26953125" customWidth="1"/>
    <col min="6" max="7" width="5.81640625" customWidth="1"/>
    <col min="8" max="8" width="10.6328125" bestFit="1" customWidth="1"/>
    <col min="9" max="9" width="10.6328125" customWidth="1"/>
    <col min="10" max="10" width="5.1796875" hidden="1" customWidth="1"/>
    <col min="11" max="12" width="6.54296875" hidden="1" customWidth="1"/>
    <col min="13" max="13" width="8.453125" bestFit="1" customWidth="1"/>
    <col min="14" max="14" width="8.7265625" customWidth="1"/>
    <col min="15" max="15" width="12.1796875" bestFit="1" customWidth="1"/>
    <col min="16" max="16" width="7.54296875" bestFit="1" customWidth="1"/>
    <col min="17" max="17" width="7.1796875" customWidth="1"/>
    <col min="18" max="18" width="8.7265625" customWidth="1"/>
    <col min="19" max="19" width="2.81640625" bestFit="1" customWidth="1"/>
    <col min="20" max="20" width="4.81640625" bestFit="1" customWidth="1"/>
    <col min="21" max="35" width="4.81640625" customWidth="1"/>
    <col min="36" max="37" width="8.7265625" customWidth="1"/>
  </cols>
  <sheetData>
    <row r="1" spans="2:37" ht="15" thickBot="1" x14ac:dyDescent="0.4"/>
    <row r="2" spans="2:37" ht="15" thickBot="1" x14ac:dyDescent="0.4">
      <c r="B2" s="14" t="s">
        <v>35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40</v>
      </c>
      <c r="I2" t="s">
        <v>41</v>
      </c>
      <c r="J2" t="s">
        <v>48</v>
      </c>
      <c r="K2" t="s">
        <v>89</v>
      </c>
      <c r="L2" t="s">
        <v>138</v>
      </c>
      <c r="M2" t="s">
        <v>91</v>
      </c>
      <c r="S2" s="1"/>
      <c r="T2" s="7" t="s">
        <v>35</v>
      </c>
      <c r="U2" s="2" t="str">
        <f>T3</f>
        <v>BAL</v>
      </c>
      <c r="V2" s="3" t="str">
        <f>T4</f>
        <v>CLE</v>
      </c>
      <c r="W2" s="4" t="str">
        <f>T5</f>
        <v>TEX</v>
      </c>
      <c r="X2" s="2" t="str">
        <f>T6</f>
        <v>NYY</v>
      </c>
      <c r="Y2" s="3" t="str">
        <f>T7</f>
        <v>MIN</v>
      </c>
      <c r="Z2" s="4" t="str">
        <f>T8</f>
        <v>KCR</v>
      </c>
      <c r="AA2" s="3" t="str">
        <f>T9</f>
        <v>SEA</v>
      </c>
      <c r="AB2" s="3" t="str">
        <f>T10</f>
        <v>BOS</v>
      </c>
      <c r="AC2" s="3" t="str">
        <f>T11</f>
        <v>DET</v>
      </c>
      <c r="AD2" s="3" t="str">
        <f>T12</f>
        <v>TBR</v>
      </c>
      <c r="AE2" s="3" t="str">
        <f>T13</f>
        <v>OAK</v>
      </c>
      <c r="AF2" s="3" t="str">
        <f>T14</f>
        <v>TOR</v>
      </c>
      <c r="AG2" s="3" t="str">
        <f>T15</f>
        <v>LAA</v>
      </c>
      <c r="AH2" s="3" t="str">
        <f>T16</f>
        <v>HOU</v>
      </c>
      <c r="AI2" s="4" t="str">
        <f>T17</f>
        <v>CHW</v>
      </c>
    </row>
    <row r="3" spans="2:37" x14ac:dyDescent="0.35">
      <c r="B3" t="s">
        <v>1</v>
      </c>
      <c r="C3">
        <f>VLOOKUP(AL[[#This Row],[AL]],simOutput[],2,0)</f>
        <v>23</v>
      </c>
      <c r="D3">
        <f>VLOOKUP(AL[[#This Row],[AL]],simOutput[],3,0)</f>
        <v>12</v>
      </c>
      <c r="E3" s="8">
        <f>(AL[[#This Row],[W]]/AL[[#This Row],[GP]])-AL[[#This Row],[Tiebreak]]/100000</f>
        <v>0.65713285714285719</v>
      </c>
      <c r="F3">
        <f>AL[[#This Row],[W]]+AL[[#This Row],[L]]</f>
        <v>35</v>
      </c>
      <c r="G3">
        <f>162-AL[[#This Row],[GP]]</f>
        <v>127</v>
      </c>
      <c r="H3" t="str">
        <f>IF(AL[[#This Row],[%]]=_xlfn.MAXIFS(AL[%],AL[Division],AL[[#This Row],[Division]]),"Div. Lead",RANK(AL[[#This Row],[%]],AL[%]))</f>
        <v>Div. Lead</v>
      </c>
      <c r="I3" t="s">
        <v>42</v>
      </c>
      <c r="J3">
        <f>VLOOKUP(AL[[#This Row],[AL]],Table_0[],18,0)</f>
        <v>1</v>
      </c>
      <c r="K3" s="25">
        <f>VLOOKUP(AL[[#This Row],[AL]],simOutput[],5,0)</f>
        <v>52</v>
      </c>
      <c r="L3" s="25">
        <f>VLOOKUP(AL[[#This Row],[AL]],Table_0[],12,0)</f>
        <v>52</v>
      </c>
      <c r="M3" s="24">
        <f>VLOOKUP(AL[[#This Row],[AL]],simOutput[],4,0)</f>
        <v>0.79479600000071216</v>
      </c>
      <c r="N3" s="28" t="str">
        <f>IF((AL[[#This Row],[Rdiff-Sim]]-AL[[#This Row],[Rdiff-MLB]])=0,"","ERROR")</f>
        <v/>
      </c>
      <c r="S3" s="10">
        <v>1</v>
      </c>
      <c r="T3" s="2" t="str">
        <f>VLOOKUP(LARGE(P9:P11,1),P9:Q11,2,FALSE)</f>
        <v>BAL</v>
      </c>
      <c r="U3" s="2"/>
      <c r="V3" s="3">
        <f>IF(163-VLOOKUP($T3,AL[[AL]:[L]],2,FALSE)-VLOOKUP(V$2,AL[[AL]:[L]],3,FALSE)&gt;0,163-VLOOKUP($T3,AL[[AL]:[L]],2,FALSE)-VLOOKUP(V$2,AL[[AL]:[L]],3,FALSE),"W")</f>
        <v>127</v>
      </c>
      <c r="W3" s="4">
        <f>IF(163-VLOOKUP($T3,AL[[AL]:[L]],2,FALSE)-VLOOKUP(W$2,AL[[AL]:[L]],3,FALSE)&gt;0,163-VLOOKUP($T3,AL[[AL]:[L]],2,FALSE)-VLOOKUP(W$2,AL[[AL]:[L]],3,FALSE),"W")</f>
        <v>124</v>
      </c>
      <c r="X3" s="2">
        <f>IF(163-VLOOKUP($T3,AL[[AL]:[L]],2,FALSE)-VLOOKUP(X$2,AL[[AL]:[L]],3,FALSE)&gt;0,163-VLOOKUP($T3,AL[[AL]:[L]],2,FALSE)-VLOOKUP(X$2,AL[[AL]:[L]],3,FALSE),"W")</f>
        <v>127</v>
      </c>
      <c r="Y3" s="3">
        <f>IF(163-VLOOKUP($T3,AL[[AL]:[L]],2,FALSE)-VLOOKUP(Y$2,AL[[AL]:[L]],3,FALSE)&gt;0,163-VLOOKUP($T3,AL[[AL]:[L]],2,FALSE)-VLOOKUP(Y$2,AL[[AL]:[L]],3,FALSE),"W")</f>
        <v>125</v>
      </c>
      <c r="Z3" s="4">
        <f>IF(163-VLOOKUP($T3,AL[[AL]:[L]],2,FALSE)-VLOOKUP(Z$2,AL[[AL]:[L]],3,FALSE)&gt;0,163-VLOOKUP($T3,AL[[AL]:[L]],2,FALSE)-VLOOKUP(Z$2,AL[[AL]:[L]],3,FALSE),"W")</f>
        <v>124</v>
      </c>
      <c r="AA3" s="3">
        <f>IF(163-VLOOKUP($T3,AL[[AL]:[L]],2,FALSE)-VLOOKUP(AA$2,AL[[AL]:[L]],3,FALSE)&gt;0,163-VLOOKUP($T3,AL[[AL]:[L]],2,FALSE)-VLOOKUP(AA$2,AL[[AL]:[L]],3,FALSE),"W")</f>
        <v>124</v>
      </c>
      <c r="AB3" s="3">
        <f>IF(163-VLOOKUP($T3,AL[[AL]:[L]],2,FALSE)-VLOOKUP(AB$2,AL[[AL]:[L]],3,FALSE)&gt;0,163-VLOOKUP($T3,AL[[AL]:[L]],2,FALSE)-VLOOKUP(AB$2,AL[[AL]:[L]],3,FALSE),"W")</f>
        <v>123</v>
      </c>
      <c r="AC3" s="3">
        <f>IF(163-VLOOKUP($T3,AL[[AL]:[L]],2,FALSE)-VLOOKUP(AC$2,AL[[AL]:[L]],3,FALSE)&gt;0,163-VLOOKUP($T3,AL[[AL]:[L]],2,FALSE)-VLOOKUP(AC$2,AL[[AL]:[L]],3,FALSE),"W")</f>
        <v>123</v>
      </c>
      <c r="AD3" s="3">
        <f>IF(163-VLOOKUP($T3,AL[[AL]:[L]],2,FALSE)-VLOOKUP(AD$2,AL[[AL]:[L]],3,FALSE)&gt;0,163-VLOOKUP($T3,AL[[AL]:[L]],2,FALSE)-VLOOKUP(AD$2,AL[[AL]:[L]],3,FALSE),"W")</f>
        <v>122</v>
      </c>
      <c r="AE3" s="3">
        <f>IF(163-VLOOKUP($T3,AL[[AL]:[L]],2,FALSE)-VLOOKUP(AE$2,AL[[AL]:[L]],3,FALSE)&gt;0,163-VLOOKUP($T3,AL[[AL]:[L]],2,FALSE)-VLOOKUP(AE$2,AL[[AL]:[L]],3,FALSE),"W")</f>
        <v>120</v>
      </c>
      <c r="AF3" s="3">
        <f>IF(163-VLOOKUP($T3,AL[[AL]:[L]],2,FALSE)-VLOOKUP(AF$2,AL[[AL]:[L]],3,FALSE)&gt;0,163-VLOOKUP($T3,AL[[AL]:[L]],2,FALSE)-VLOOKUP(AF$2,AL[[AL]:[L]],3,FALSE),"W")</f>
        <v>120</v>
      </c>
      <c r="AG3" s="3">
        <f>IF(163-VLOOKUP($T3,AL[[AL]:[L]],2,FALSE)-VLOOKUP(AG$2,AL[[AL]:[L]],3,FALSE)&gt;0,163-VLOOKUP($T3,AL[[AL]:[L]],2,FALSE)-VLOOKUP(AG$2,AL[[AL]:[L]],3,FALSE),"W")</f>
        <v>117</v>
      </c>
      <c r="AH3" s="3">
        <f>IF(163-VLOOKUP($T3,AL[[AL]:[L]],2,FALSE)-VLOOKUP(AH$2,AL[[AL]:[L]],3,FALSE)&gt;0,163-VLOOKUP($T3,AL[[AL]:[L]],2,FALSE)-VLOOKUP(AH$2,AL[[AL]:[L]],3,FALSE),"W")</f>
        <v>117</v>
      </c>
      <c r="AI3" s="4">
        <f>IF(163-VLOOKUP($T3,AL[[AL]:[L]],2,FALSE)-VLOOKUP(AI$2,AL[[AL]:[L]],3,FALSE)&gt;0,163-VLOOKUP($T3,AL[[AL]:[L]],2,FALSE)-VLOOKUP(AI$2,AL[[AL]:[L]],3,FALSE),"W")</f>
        <v>112</v>
      </c>
      <c r="AJ3" s="1" t="str" cm="1">
        <f t="array" ref="AJ3">_xlfn.IFS(163-VLOOKUP(INDEX(AL[AL],MATCH(_xlfn.MINIFS(AL[WC Rank],AL[Division],VLOOKUP(T3,AL[],8,FALSE)),AL[WC Rank],0)),AL[],3,FALSE)-VLOOKUP(T3,AL[],2,FALSE)&lt;=0,IF(W3="W","BYE","D"),AA3="W","WC",TRUE,"")</f>
        <v/>
      </c>
      <c r="AK3" t="str">
        <f t="shared" ref="AK3:AK17" si="0">IF(COUNTIF(U3:AI3,"X")+COUNTIF(U3:AI3,"W")=14,"LOCK","")</f>
        <v/>
      </c>
    </row>
    <row r="4" spans="2:37" x14ac:dyDescent="0.35">
      <c r="B4" t="s">
        <v>4</v>
      </c>
      <c r="C4">
        <f>VLOOKUP(AL[[#This Row],[AL]],simOutput[],2,0)</f>
        <v>24</v>
      </c>
      <c r="D4">
        <f>VLOOKUP(AL[[#This Row],[AL]],simOutput[],3,0)</f>
        <v>13</v>
      </c>
      <c r="E4" s="8">
        <f>(AL[[#This Row],[W]]/AL[[#This Row],[GP]])-AL[[#This Row],[Tiebreak]]/100000</f>
        <v>0.64862864864864866</v>
      </c>
      <c r="F4">
        <f>AL[[#This Row],[W]]+AL[[#This Row],[L]]</f>
        <v>37</v>
      </c>
      <c r="G4">
        <f>162-AL[[#This Row],[GP]]</f>
        <v>125</v>
      </c>
      <c r="H4">
        <f>IF(AL[[#This Row],[%]]=_xlfn.MAXIFS(AL[%],AL[Division],AL[[#This Row],[Division]]),"Div. Lead",RANK(AL[[#This Row],[%]],AL[%]))</f>
        <v>2</v>
      </c>
      <c r="I4" t="s">
        <v>42</v>
      </c>
      <c r="J4">
        <f>VLOOKUP(AL[[#This Row],[AL]],Table_0[],18,0)</f>
        <v>2</v>
      </c>
      <c r="K4" s="25">
        <f>VLOOKUP(AL[[#This Row],[AL]],simOutput[],5,0)</f>
        <v>49</v>
      </c>
      <c r="L4" s="25">
        <f>VLOOKUP(AL[[#This Row],[AL]],Table_0[],12,0)</f>
        <v>49</v>
      </c>
      <c r="M4" s="24">
        <f>VLOOKUP(AL[[#This Row],[AL]],simOutput[],4,0)</f>
        <v>0.78185600000069921</v>
      </c>
      <c r="N4" s="28" t="str">
        <f>IF((AL[[#This Row],[Rdiff-Sim]]-AL[[#This Row],[Rdiff-MLB]])=0,"","ERROR")</f>
        <v/>
      </c>
      <c r="S4" s="10">
        <v>2</v>
      </c>
      <c r="T4" s="5" t="str">
        <f>VLOOKUP(LARGE(P9:P11,2),P9:Q11,2,FALSE)</f>
        <v>CLE</v>
      </c>
      <c r="U4" s="5">
        <f>IF((163-VLOOKUP($T4,AL[[AL]:[L]],2,FALSE)-VLOOKUP(U$2,AL[[AL]:[L]],3,FALSE))&lt;=(VLOOKUP($T4,AL[[AL]:[GR]],6,FALSE)+VLOOKUP(U$2,AL[[AL]:[GR]],6,FALSE))+1,163-VLOOKUP($T4,AL[[AL]:[L]],2,FALSE)-VLOOKUP(U$2,AL[[AL]:[L]],3,FALSE),"X")</f>
        <v>128</v>
      </c>
      <c r="V4" s="1"/>
      <c r="W4" s="11">
        <f>IF(163-VLOOKUP($T4,AL[[AL]:[L]],2,FALSE)-VLOOKUP(W$2,AL[[AL]:[L]],3,FALSE)&gt;0,163-VLOOKUP($T4,AL[[AL]:[L]],2,FALSE)-VLOOKUP(W$2,AL[[AL]:[L]],3,FALSE),"W")</f>
        <v>124</v>
      </c>
      <c r="X4" s="5">
        <f>IF(163-VLOOKUP($T4,AL[[AL]:[L]],2,FALSE)-VLOOKUP(X$2,AL[[AL]:[L]],3,FALSE)&gt;0,163-VLOOKUP($T4,AL[[AL]:[L]],2,FALSE)-VLOOKUP(X$2,AL[[AL]:[L]],3,FALSE),"W")</f>
        <v>127</v>
      </c>
      <c r="Y4" s="1">
        <f>IF(163-VLOOKUP($T4,AL[[AL]:[L]],2,FALSE)-VLOOKUP(Y$2,AL[[AL]:[L]],3,FALSE)&gt;0,163-VLOOKUP($T4,AL[[AL]:[L]],2,FALSE)-VLOOKUP(Y$2,AL[[AL]:[L]],3,FALSE),"W")</f>
        <v>125</v>
      </c>
      <c r="Z4" s="11">
        <f>IF(163-VLOOKUP($T4,AL[[AL]:[L]],2,FALSE)-VLOOKUP(Z$2,AL[[AL]:[L]],3,FALSE)&gt;0,163-VLOOKUP($T4,AL[[AL]:[L]],2,FALSE)-VLOOKUP(Z$2,AL[[AL]:[L]],3,FALSE),"W")</f>
        <v>124</v>
      </c>
      <c r="AA4" s="1">
        <f>IF(163-VLOOKUP($T4,AL[[AL]:[L]],2,FALSE)-VLOOKUP(AA$2,AL[[AL]:[L]],3,FALSE)&gt;0,163-VLOOKUP($T4,AL[[AL]:[L]],2,FALSE)-VLOOKUP(AA$2,AL[[AL]:[L]],3,FALSE),"W")</f>
        <v>124</v>
      </c>
      <c r="AB4" s="1">
        <f>IF(163-VLOOKUP($T4,AL[[AL]:[L]],2,FALSE)-VLOOKUP(AB$2,AL[[AL]:[L]],3,FALSE)&gt;0,163-VLOOKUP($T4,AL[[AL]:[L]],2,FALSE)-VLOOKUP(AB$2,AL[[AL]:[L]],3,FALSE),"W")</f>
        <v>123</v>
      </c>
      <c r="AC4" s="1">
        <f>IF(163-VLOOKUP($T4,AL[[AL]:[L]],2,FALSE)-VLOOKUP(AC$2,AL[[AL]:[L]],3,FALSE)&gt;0,163-VLOOKUP($T4,AL[[AL]:[L]],2,FALSE)-VLOOKUP(AC$2,AL[[AL]:[L]],3,FALSE),"W")</f>
        <v>123</v>
      </c>
      <c r="AD4" s="1">
        <f>IF(163-VLOOKUP($T4,AL[[AL]:[L]],2,FALSE)-VLOOKUP(AD$2,AL[[AL]:[L]],3,FALSE)&gt;0,163-VLOOKUP($T4,AL[[AL]:[L]],2,FALSE)-VLOOKUP(AD$2,AL[[AL]:[L]],3,FALSE),"W")</f>
        <v>122</v>
      </c>
      <c r="AE4" s="1">
        <f>IF(163-VLOOKUP($T4,AL[[AL]:[L]],2,FALSE)-VLOOKUP(AE$2,AL[[AL]:[L]],3,FALSE)&gt;0,163-VLOOKUP($T4,AL[[AL]:[L]],2,FALSE)-VLOOKUP(AE$2,AL[[AL]:[L]],3,FALSE),"W")</f>
        <v>120</v>
      </c>
      <c r="AF4" s="1">
        <f>IF(163-VLOOKUP($T4,AL[[AL]:[L]],2,FALSE)-VLOOKUP(AF$2,AL[[AL]:[L]],3,FALSE)&gt;0,163-VLOOKUP($T4,AL[[AL]:[L]],2,FALSE)-VLOOKUP(AF$2,AL[[AL]:[L]],3,FALSE),"W")</f>
        <v>120</v>
      </c>
      <c r="AG4" s="1">
        <f>IF(163-VLOOKUP($T4,AL[[AL]:[L]],2,FALSE)-VLOOKUP(AG$2,AL[[AL]:[L]],3,FALSE)&gt;0,163-VLOOKUP($T4,AL[[AL]:[L]],2,FALSE)-VLOOKUP(AG$2,AL[[AL]:[L]],3,FALSE),"W")</f>
        <v>117</v>
      </c>
      <c r="AH4" s="1">
        <f>IF(163-VLOOKUP($T4,AL[[AL]:[L]],2,FALSE)-VLOOKUP(AH$2,AL[[AL]:[L]],3,FALSE)&gt;0,163-VLOOKUP($T4,AL[[AL]:[L]],2,FALSE)-VLOOKUP(AH$2,AL[[AL]:[L]],3,FALSE),"W")</f>
        <v>117</v>
      </c>
      <c r="AI4" s="11">
        <f>IF(163-VLOOKUP($T4,AL[[AL]:[L]],2,FALSE)-VLOOKUP(AI$2,AL[[AL]:[L]],3,FALSE)&gt;0,163-VLOOKUP($T4,AL[[AL]:[L]],2,FALSE)-VLOOKUP(AI$2,AL[[AL]:[L]],3,FALSE),"W")</f>
        <v>112</v>
      </c>
      <c r="AJ4" s="1" t="str" cm="1">
        <f t="array" ref="AJ4">_xlfn.IFS(163-VLOOKUP(INDEX(AL[AL],MATCH(_xlfn.MINIFS(AL[WC Rank],AL[Division],VLOOKUP(T4,AL[],8,FALSE)),AL[WC Rank],0)),AL[],3,FALSE)-VLOOKUP(T4,AL[],2,FALSE)&lt;=0,IF(W4="W","BYE","D"),AA4="W","WC",TRUE,"")</f>
        <v/>
      </c>
      <c r="AK4" t="str">
        <f t="shared" si="0"/>
        <v/>
      </c>
    </row>
    <row r="5" spans="2:37" ht="15" thickBot="1" x14ac:dyDescent="0.4">
      <c r="B5" t="s">
        <v>16</v>
      </c>
      <c r="C5">
        <f>VLOOKUP(AL[[#This Row],[AL]],simOutput[],2,0)</f>
        <v>23</v>
      </c>
      <c r="D5">
        <f>VLOOKUP(AL[[#This Row],[AL]],simOutput[],3,0)</f>
        <v>13</v>
      </c>
      <c r="E5" s="8">
        <f>(AL[[#This Row],[W]]/AL[[#This Row],[GP]])-AL[[#This Row],[Tiebreak]]/100000</f>
        <v>0.63885888888888887</v>
      </c>
      <c r="F5">
        <f>AL[[#This Row],[W]]+AL[[#This Row],[L]]</f>
        <v>36</v>
      </c>
      <c r="G5">
        <f>162-AL[[#This Row],[GP]]</f>
        <v>126</v>
      </c>
      <c r="H5" t="str">
        <f>IF(AL[[#This Row],[%]]=_xlfn.MAXIFS(AL[%],AL[Division],AL[[#This Row],[Division]]),"Div. Lead",RANK(AL[[#This Row],[%]],AL[%]))</f>
        <v>Div. Lead</v>
      </c>
      <c r="I5" t="s">
        <v>43</v>
      </c>
      <c r="J5">
        <f>VLOOKUP(AL[[#This Row],[AL]],Table_0[],18,0)</f>
        <v>3</v>
      </c>
      <c r="K5" s="25">
        <f>VLOOKUP(AL[[#This Row],[AL]],simOutput[],5,0)</f>
        <v>40</v>
      </c>
      <c r="L5" s="25">
        <f>VLOOKUP(AL[[#This Row],[AL]],Table_0[],12,0)</f>
        <v>40</v>
      </c>
      <c r="M5" s="24">
        <f>VLOOKUP(AL[[#This Row],[AL]],simOutput[],4,0)</f>
        <v>0.73879200000065615</v>
      </c>
      <c r="N5" s="28" t="str">
        <f>IF((AL[[#This Row],[Rdiff-Sim]]-AL[[#This Row],[Rdiff-MLB]])=0,"","ERROR")</f>
        <v/>
      </c>
      <c r="S5" s="10">
        <v>3</v>
      </c>
      <c r="T5" s="6" t="str">
        <f>VLOOKUP(LARGE(P9:P11,3),P9:Q11,2,FALSE)</f>
        <v>TEX</v>
      </c>
      <c r="U5" s="6">
        <f>IF((163-VLOOKUP($T5,AL[[AL]:[L]],2,FALSE)-VLOOKUP(U$2,AL[[AL]:[L]],3,FALSE))&lt;=(VLOOKUP($T5,AL[[AL]:[GR]],6,FALSE)+VLOOKUP(U$2,AL[[AL]:[GR]],6,FALSE))+1,163-VLOOKUP($T5,AL[[AL]:[L]],2,FALSE)-VLOOKUP(U$2,AL[[AL]:[L]],3,FALSE),"X")</f>
        <v>130</v>
      </c>
      <c r="V5" s="12">
        <f>IF((163-VLOOKUP($T5,AL[[AL]:[L]],2,FALSE)-VLOOKUP(V$2,AL[[AL]:[L]],3,FALSE))&lt;=(VLOOKUP($T5,AL[[AL]:[GR]],6,FALSE)+VLOOKUP(V$2,AL[[AL]:[GR]],6,FALSE))+1,163-VLOOKUP($T5,AL[[AL]:[L]],2,FALSE)-VLOOKUP(V$2,AL[[AL]:[L]],3,FALSE),"X")</f>
        <v>129</v>
      </c>
      <c r="W5" s="13"/>
      <c r="X5" s="6">
        <f>IF(163-VLOOKUP($T5,AL[[AL]:[L]],2,FALSE)-VLOOKUP(X$2,AL[[AL]:[L]],3,FALSE)&gt;0,163-VLOOKUP($T5,AL[[AL]:[L]],2,FALSE)-VLOOKUP(X$2,AL[[AL]:[L]],3,FALSE),"W")</f>
        <v>129</v>
      </c>
      <c r="Y5" s="12">
        <f>IF(163-VLOOKUP($T5,AL[[AL]:[L]],2,FALSE)-VLOOKUP(Y$2,AL[[AL]:[L]],3,FALSE)&gt;0,163-VLOOKUP($T5,AL[[AL]:[L]],2,FALSE)-VLOOKUP(Y$2,AL[[AL]:[L]],3,FALSE),"W")</f>
        <v>127</v>
      </c>
      <c r="Z5" s="13">
        <f>IF(163-VLOOKUP($T5,AL[[AL]:[L]],2,FALSE)-VLOOKUP(Z$2,AL[[AL]:[L]],3,FALSE)&gt;0,163-VLOOKUP($T5,AL[[AL]:[L]],2,FALSE)-VLOOKUP(Z$2,AL[[AL]:[L]],3,FALSE),"W")</f>
        <v>126</v>
      </c>
      <c r="AA5" s="12">
        <f>IF(163-VLOOKUP($T5,AL[[AL]:[L]],2,FALSE)-VLOOKUP(AA$2,AL[[AL]:[L]],3,FALSE)&gt;0,163-VLOOKUP($T5,AL[[AL]:[L]],2,FALSE)-VLOOKUP(AA$2,AL[[AL]:[L]],3,FALSE),"W")</f>
        <v>126</v>
      </c>
      <c r="AB5" s="12">
        <f>IF(163-VLOOKUP($T5,AL[[AL]:[L]],2,FALSE)-VLOOKUP(AB$2,AL[[AL]:[L]],3,FALSE)&gt;0,163-VLOOKUP($T5,AL[[AL]:[L]],2,FALSE)-VLOOKUP(AB$2,AL[[AL]:[L]],3,FALSE),"W")</f>
        <v>125</v>
      </c>
      <c r="AC5" s="12">
        <f>IF(163-VLOOKUP($T5,AL[[AL]:[L]],2,FALSE)-VLOOKUP(AC$2,AL[[AL]:[L]],3,FALSE)&gt;0,163-VLOOKUP($T5,AL[[AL]:[L]],2,FALSE)-VLOOKUP(AC$2,AL[[AL]:[L]],3,FALSE),"W")</f>
        <v>125</v>
      </c>
      <c r="AD5" s="12">
        <f>IF(163-VLOOKUP($T5,AL[[AL]:[L]],2,FALSE)-VLOOKUP(AD$2,AL[[AL]:[L]],3,FALSE)&gt;0,163-VLOOKUP($T5,AL[[AL]:[L]],2,FALSE)-VLOOKUP(AD$2,AL[[AL]:[L]],3,FALSE),"W")</f>
        <v>124</v>
      </c>
      <c r="AE5" s="12">
        <f>IF(163-VLOOKUP($T5,AL[[AL]:[L]],2,FALSE)-VLOOKUP(AE$2,AL[[AL]:[L]],3,FALSE)&gt;0,163-VLOOKUP($T5,AL[[AL]:[L]],2,FALSE)-VLOOKUP(AE$2,AL[[AL]:[L]],3,FALSE),"W")</f>
        <v>122</v>
      </c>
      <c r="AF5" s="12">
        <f>IF(163-VLOOKUP($T5,AL[[AL]:[L]],2,FALSE)-VLOOKUP(AF$2,AL[[AL]:[L]],3,FALSE)&gt;0,163-VLOOKUP($T5,AL[[AL]:[L]],2,FALSE)-VLOOKUP(AF$2,AL[[AL]:[L]],3,FALSE),"W")</f>
        <v>122</v>
      </c>
      <c r="AG5" s="12">
        <f>IF(163-VLOOKUP($T5,AL[[AL]:[L]],2,FALSE)-VLOOKUP(AG$2,AL[[AL]:[L]],3,FALSE)&gt;0,163-VLOOKUP($T5,AL[[AL]:[L]],2,FALSE)-VLOOKUP(AG$2,AL[[AL]:[L]],3,FALSE),"W")</f>
        <v>119</v>
      </c>
      <c r="AH5" s="12">
        <f>IF(163-VLOOKUP($T5,AL[[AL]:[L]],2,FALSE)-VLOOKUP(AH$2,AL[[AL]:[L]],3,FALSE)&gt;0,163-VLOOKUP($T5,AL[[AL]:[L]],2,FALSE)-VLOOKUP(AH$2,AL[[AL]:[L]],3,FALSE),"W")</f>
        <v>119</v>
      </c>
      <c r="AI5" s="13">
        <f>IF(163-VLOOKUP($T5,AL[[AL]:[L]],2,FALSE)-VLOOKUP(AI$2,AL[[AL]:[L]],3,FALSE)&gt;0,163-VLOOKUP($T5,AL[[AL]:[L]],2,FALSE)-VLOOKUP(AI$2,AL[[AL]:[L]],3,FALSE),"W")</f>
        <v>114</v>
      </c>
      <c r="AJ5" s="1" t="str" cm="1">
        <f t="array" ref="AJ5">_xlfn.IFS(163-VLOOKUP(INDEX(AL[AL],MATCH(_xlfn.MINIFS(AL[WC Rank],AL[Division],VLOOKUP(T5,AL[],8,FALSE)),AL[WC Rank],0)),AL[],3,FALSE)-VLOOKUP(T5,AL[],2,FALSE)&lt;=0,"D",AA5="W","WC",TRUE,"")</f>
        <v/>
      </c>
      <c r="AK5" t="str">
        <f t="shared" si="0"/>
        <v/>
      </c>
    </row>
    <row r="6" spans="2:37" x14ac:dyDescent="0.35">
      <c r="B6" t="s">
        <v>15</v>
      </c>
      <c r="C6">
        <f>VLOOKUP(AL[[#This Row],[AL]],simOutput[],2,0)</f>
        <v>20</v>
      </c>
      <c r="D6">
        <f>VLOOKUP(AL[[#This Row],[AL]],simOutput[],3,0)</f>
        <v>15</v>
      </c>
      <c r="E6" s="8">
        <f>(AL[[#This Row],[W]]/AL[[#This Row],[GP]])-AL[[#This Row],[Tiebreak]]/100000</f>
        <v>0.57138857142857136</v>
      </c>
      <c r="F6">
        <f>AL[[#This Row],[W]]+AL[[#This Row],[L]]</f>
        <v>35</v>
      </c>
      <c r="G6">
        <f>162-AL[[#This Row],[GP]]</f>
        <v>127</v>
      </c>
      <c r="H6">
        <f>IF(AL[[#This Row],[%]]=_xlfn.MAXIFS(AL[%],AL[Division],AL[[#This Row],[Division]]),"Div. Lead",RANK(AL[[#This Row],[%]],AL[%]))</f>
        <v>4</v>
      </c>
      <c r="I6" t="s">
        <v>43</v>
      </c>
      <c r="J6">
        <f>VLOOKUP(AL[[#This Row],[AL]],Table_0[],18,0)</f>
        <v>4</v>
      </c>
      <c r="K6" s="25">
        <f>VLOOKUP(AL[[#This Row],[AL]],simOutput[],5,0)</f>
        <v>11</v>
      </c>
      <c r="L6" s="25">
        <f>VLOOKUP(AL[[#This Row],[AL]],Table_0[],12,0)</f>
        <v>11</v>
      </c>
      <c r="M6" s="24">
        <f>VLOOKUP(AL[[#This Row],[AL]],simOutput[],4,0)</f>
        <v>0.48927600000040666</v>
      </c>
      <c r="N6" s="28" t="str">
        <f>IF((AL[[#This Row],[Rdiff-Sim]]-AL[[#This Row],[Rdiff-MLB]])=0,"","ERROR")</f>
        <v/>
      </c>
      <c r="S6" s="10">
        <v>4</v>
      </c>
      <c r="T6" s="2" t="str" cm="1">
        <f t="array" ref="T6">INDEX(AL[AL],MATCH(SMALL(AL[WC Rank],S6-3),AL[WC Rank],0),0)</f>
        <v>NYY</v>
      </c>
      <c r="U6" s="2">
        <f>IF((163-VLOOKUP($T6,AL[[AL]:[L]],2,FALSE)-VLOOKUP(U$2,AL[[AL]:[L]],3,FALSE))&lt;=(VLOOKUP($T6,AL[[AL]:[GR]],6,FALSE)+VLOOKUP(U$2,AL[[AL]:[GR]],6,FALSE))+1,163-VLOOKUP($T6,AL[[AL]:[L]],2,FALSE)-VLOOKUP(U$2,AL[[AL]:[L]],3,FALSE),"X")</f>
        <v>127</v>
      </c>
      <c r="V6" s="3">
        <f>IF((163-VLOOKUP($T6,AL[[AL]:[L]],2,FALSE)-VLOOKUP(V$2,AL[[AL]:[L]],3,FALSE))&lt;=(VLOOKUP($T6,AL[[AL]:[GR]],6,FALSE)+VLOOKUP(V$2,AL[[AL]:[GR]],6,FALSE))+1,163-VLOOKUP($T6,AL[[AL]:[L]],2,FALSE)-VLOOKUP(V$2,AL[[AL]:[L]],3,FALSE),"X")</f>
        <v>126</v>
      </c>
      <c r="W6" s="4">
        <f>IF((163-VLOOKUP($T6,AL[[AL]:[L]],2,FALSE)-VLOOKUP(W$2,AL[[AL]:[L]],3,FALSE))&lt;=(VLOOKUP($T6,AL[[AL]:[GR]],6,FALSE)+VLOOKUP(W$2,AL[[AL]:[GR]],6,FALSE))+1,163-VLOOKUP($T6,AL[[AL]:[L]],2,FALSE)-VLOOKUP(W$2,AL[[AL]:[L]],3,FALSE),"X")</f>
        <v>123</v>
      </c>
      <c r="X6" s="2"/>
      <c r="Y6" s="3">
        <f>IF(163-VLOOKUP($T6,AL[[AL]:[L]],2,FALSE)-VLOOKUP(Y$2,AL[[AL]:[L]],3,FALSE)&gt;0,163-VLOOKUP($T6,AL[[AL]:[L]],2,FALSE)-VLOOKUP(Y$2,AL[[AL]:[L]],3,FALSE),"W")</f>
        <v>124</v>
      </c>
      <c r="Z6" s="4">
        <f>IF(163-VLOOKUP($T6,AL[[AL]:[L]],2,FALSE)-VLOOKUP(Z$2,AL[[AL]:[L]],3,FALSE)&gt;0,163-VLOOKUP($T6,AL[[AL]:[L]],2,FALSE)-VLOOKUP(Z$2,AL[[AL]:[L]],3,FALSE),"W")</f>
        <v>123</v>
      </c>
      <c r="AA6" s="3">
        <f>IF(163-VLOOKUP($T6,AL[[AL]:[L]],2,FALSE)-VLOOKUP(AA$2,AL[[AL]:[L]],3,FALSE)&gt;0,163-VLOOKUP($T6,AL[[AL]:[L]],2,FALSE)-VLOOKUP(AA$2,AL[[AL]:[L]],3,FALSE),"W")</f>
        <v>123</v>
      </c>
      <c r="AB6" s="3">
        <f>IF(163-VLOOKUP($T6,AL[[AL]:[L]],2,FALSE)-VLOOKUP(AB$2,AL[[AL]:[L]],3,FALSE)&gt;0,163-VLOOKUP($T6,AL[[AL]:[L]],2,FALSE)-VLOOKUP(AB$2,AL[[AL]:[L]],3,FALSE),"W")</f>
        <v>122</v>
      </c>
      <c r="AC6" s="3">
        <f>IF(163-VLOOKUP($T6,AL[[AL]:[L]],2,FALSE)-VLOOKUP(AC$2,AL[[AL]:[L]],3,FALSE)&gt;0,163-VLOOKUP($T6,AL[[AL]:[L]],2,FALSE)-VLOOKUP(AC$2,AL[[AL]:[L]],3,FALSE),"W")</f>
        <v>122</v>
      </c>
      <c r="AD6" s="3">
        <f>IF(163-VLOOKUP($T6,AL[[AL]:[L]],2,FALSE)-VLOOKUP(AD$2,AL[[AL]:[L]],3,FALSE)&gt;0,163-VLOOKUP($T6,AL[[AL]:[L]],2,FALSE)-VLOOKUP(AD$2,AL[[AL]:[L]],3,FALSE),"W")</f>
        <v>121</v>
      </c>
      <c r="AE6" s="3">
        <f>IF(163-VLOOKUP($T6,AL[[AL]:[L]],2,FALSE)-VLOOKUP(AE$2,AL[[AL]:[L]],3,FALSE)&gt;0,163-VLOOKUP($T6,AL[[AL]:[L]],2,FALSE)-VLOOKUP(AE$2,AL[[AL]:[L]],3,FALSE),"W")</f>
        <v>119</v>
      </c>
      <c r="AF6" s="3">
        <f>IF(163-VLOOKUP($T6,AL[[AL]:[L]],2,FALSE)-VLOOKUP(AF$2,AL[[AL]:[L]],3,FALSE)&gt;0,163-VLOOKUP($T6,AL[[AL]:[L]],2,FALSE)-VLOOKUP(AF$2,AL[[AL]:[L]],3,FALSE),"W")</f>
        <v>119</v>
      </c>
      <c r="AG6" s="3">
        <f>IF(163-VLOOKUP($T6,AL[[AL]:[L]],2,FALSE)-VLOOKUP(AG$2,AL[[AL]:[L]],3,FALSE)&gt;0,163-VLOOKUP($T6,AL[[AL]:[L]],2,FALSE)-VLOOKUP(AG$2,AL[[AL]:[L]],3,FALSE),"W")</f>
        <v>116</v>
      </c>
      <c r="AH6" s="3">
        <f>IF(163-VLOOKUP($T6,AL[[AL]:[L]],2,FALSE)-VLOOKUP(AH$2,AL[[AL]:[L]],3,FALSE)&gt;0,163-VLOOKUP($T6,AL[[AL]:[L]],2,FALSE)-VLOOKUP(AH$2,AL[[AL]:[L]],3,FALSE),"W")</f>
        <v>116</v>
      </c>
      <c r="AI6" s="4">
        <f>IF(163-VLOOKUP($T6,AL[[AL]:[L]],2,FALSE)-VLOOKUP(AI$2,AL[[AL]:[L]],3,FALSE)&gt;0,163-VLOOKUP($T6,AL[[AL]:[L]],2,FALSE)-VLOOKUP(AI$2,AL[[AL]:[L]],3,FALSE),"W")</f>
        <v>111</v>
      </c>
      <c r="AJ6" s="1" t="str">
        <f>IF(AA6="W","WC","")</f>
        <v/>
      </c>
      <c r="AK6" t="str">
        <f t="shared" si="0"/>
        <v/>
      </c>
    </row>
    <row r="7" spans="2:37" x14ac:dyDescent="0.35">
      <c r="B7" t="s">
        <v>51</v>
      </c>
      <c r="C7">
        <f>VLOOKUP(AL[[#This Row],[AL]],simOutput[],2,0)</f>
        <v>21</v>
      </c>
      <c r="D7">
        <f>VLOOKUP(AL[[#This Row],[AL]],simOutput[],3,0)</f>
        <v>16</v>
      </c>
      <c r="E7" s="8">
        <f>(AL[[#This Row],[W]]/AL[[#This Row],[GP]])-AL[[#This Row],[Tiebreak]]/100000</f>
        <v>0.56751756756756755</v>
      </c>
      <c r="F7">
        <f>AL[[#This Row],[W]]+AL[[#This Row],[L]]</f>
        <v>37</v>
      </c>
      <c r="G7">
        <f>162-AL[[#This Row],[GP]]</f>
        <v>125</v>
      </c>
      <c r="H7">
        <f>IF(AL[[#This Row],[%]]=_xlfn.MAXIFS(AL[%],AL[Division],AL[[#This Row],[Division]]),"Div. Lead",RANK(AL[[#This Row],[%]],AL[%]))</f>
        <v>5</v>
      </c>
      <c r="I7" t="s">
        <v>43</v>
      </c>
      <c r="J7">
        <f>VLOOKUP(AL[[#This Row],[AL]],Table_0[],18,0)</f>
        <v>5</v>
      </c>
      <c r="K7" s="25">
        <f>VLOOKUP(AL[[#This Row],[AL]],simOutput[],5,0)</f>
        <v>44</v>
      </c>
      <c r="L7" s="25">
        <f>VLOOKUP(AL[[#This Row],[AL]],Table_0[],12,0)</f>
        <v>44</v>
      </c>
      <c r="M7" s="24">
        <f>VLOOKUP(AL[[#This Row],[AL]],simOutput[],4,0)</f>
        <v>0.59420000000051154</v>
      </c>
      <c r="N7" s="28" t="str">
        <f>IF((AL[[#This Row],[Rdiff-Sim]]-AL[[#This Row],[Rdiff-MLB]])=0,"","ERROR")</f>
        <v/>
      </c>
      <c r="S7" s="10">
        <v>5</v>
      </c>
      <c r="T7" s="5" t="str" cm="1">
        <f t="array" ref="T7">INDEX(AL[AL],MATCH(SMALL(AL[WC Rank],S7-3),AL[WC Rank],0),0)</f>
        <v>MIN</v>
      </c>
      <c r="U7" s="5">
        <f>IF((163-VLOOKUP($T7,AL[[AL]:[L]],2,FALSE)-VLOOKUP(U$2,AL[[AL]:[L]],3,FALSE))&lt;=(VLOOKUP($T7,AL[[AL]:[GR]],6,FALSE)+VLOOKUP(U$2,AL[[AL]:[GR]],6,FALSE))+1,163-VLOOKUP($T7,AL[[AL]:[L]],2,FALSE)-VLOOKUP(U$2,AL[[AL]:[L]],3,FALSE),"X")</f>
        <v>131</v>
      </c>
      <c r="V7" s="1">
        <f>IF((163-VLOOKUP($T7,AL[[AL]:[L]],2,FALSE)-VLOOKUP(V$2,AL[[AL]:[L]],3,FALSE))&lt;=(VLOOKUP($T7,AL[[AL]:[GR]],6,FALSE)+VLOOKUP(V$2,AL[[AL]:[GR]],6,FALSE))+1,163-VLOOKUP($T7,AL[[AL]:[L]],2,FALSE)-VLOOKUP(V$2,AL[[AL]:[L]],3,FALSE),"X")</f>
        <v>130</v>
      </c>
      <c r="W7" s="11">
        <f>IF((163-VLOOKUP($T7,AL[[AL]:[L]],2,FALSE)-VLOOKUP(W$2,AL[[AL]:[L]],3,FALSE))&lt;=(VLOOKUP($T7,AL[[AL]:[GR]],6,FALSE)+VLOOKUP(W$2,AL[[AL]:[GR]],6,FALSE))+1,163-VLOOKUP($T7,AL[[AL]:[L]],2,FALSE)-VLOOKUP(W$2,AL[[AL]:[L]],3,FALSE),"X")</f>
        <v>127</v>
      </c>
      <c r="X7" s="5">
        <f>IF((163-VLOOKUP($T7,AL[[AL]:[L]],2,FALSE)-VLOOKUP(X$2,AL[[AL]:[L]],3,FALSE))&lt;=(VLOOKUP($T7,AL[[AL]:[GR]],6,FALSE)+VLOOKUP(X$2,AL[[AL]:[GR]],6,FALSE))+1,163-VLOOKUP($T7,AL[[AL]:[L]],2,FALSE)-VLOOKUP(X$2,AL[[AL]:[L]],3,FALSE),"X")</f>
        <v>130</v>
      </c>
      <c r="Y7" s="1"/>
      <c r="Z7" s="11">
        <f>IF(163-VLOOKUP($T7,AL[[AL]:[L]],2,FALSE)-VLOOKUP(Z$2,AL[[AL]:[L]],3,FALSE)&gt;0,163-VLOOKUP($T7,AL[[AL]:[L]],2,FALSE)-VLOOKUP(Z$2,AL[[AL]:[L]],3,FALSE),"W")</f>
        <v>127</v>
      </c>
      <c r="AA7" s="1">
        <f>IF(163-VLOOKUP($T7,AL[[AL]:[L]],2,FALSE)-VLOOKUP(AA$2,AL[[AL]:[L]],3,FALSE)&gt;0,163-VLOOKUP($T7,AL[[AL]:[L]],2,FALSE)-VLOOKUP(AA$2,AL[[AL]:[L]],3,FALSE),"W")</f>
        <v>127</v>
      </c>
      <c r="AB7" s="1">
        <f>IF(163-VLOOKUP($T7,AL[[AL]:[L]],2,FALSE)-VLOOKUP(AB$2,AL[[AL]:[L]],3,FALSE)&gt;0,163-VLOOKUP($T7,AL[[AL]:[L]],2,FALSE)-VLOOKUP(AB$2,AL[[AL]:[L]],3,FALSE),"W")</f>
        <v>126</v>
      </c>
      <c r="AC7" s="1">
        <f>IF(163-VLOOKUP($T7,AL[[AL]:[L]],2,FALSE)-VLOOKUP(AC$2,AL[[AL]:[L]],3,FALSE)&gt;0,163-VLOOKUP($T7,AL[[AL]:[L]],2,FALSE)-VLOOKUP(AC$2,AL[[AL]:[L]],3,FALSE),"W")</f>
        <v>126</v>
      </c>
      <c r="AD7" s="1">
        <f>IF(163-VLOOKUP($T7,AL[[AL]:[L]],2,FALSE)-VLOOKUP(AD$2,AL[[AL]:[L]],3,FALSE)&gt;0,163-VLOOKUP($T7,AL[[AL]:[L]],2,FALSE)-VLOOKUP(AD$2,AL[[AL]:[L]],3,FALSE),"W")</f>
        <v>125</v>
      </c>
      <c r="AE7" s="1">
        <f>IF(163-VLOOKUP($T7,AL[[AL]:[L]],2,FALSE)-VLOOKUP(AE$2,AL[[AL]:[L]],3,FALSE)&gt;0,163-VLOOKUP($T7,AL[[AL]:[L]],2,FALSE)-VLOOKUP(AE$2,AL[[AL]:[L]],3,FALSE),"W")</f>
        <v>123</v>
      </c>
      <c r="AF7" s="1">
        <f>IF(163-VLOOKUP($T7,AL[[AL]:[L]],2,FALSE)-VLOOKUP(AF$2,AL[[AL]:[L]],3,FALSE)&gt;0,163-VLOOKUP($T7,AL[[AL]:[L]],2,FALSE)-VLOOKUP(AF$2,AL[[AL]:[L]],3,FALSE),"W")</f>
        <v>123</v>
      </c>
      <c r="AG7" s="1">
        <f>IF(163-VLOOKUP($T7,AL[[AL]:[L]],2,FALSE)-VLOOKUP(AG$2,AL[[AL]:[L]],3,FALSE)&gt;0,163-VLOOKUP($T7,AL[[AL]:[L]],2,FALSE)-VLOOKUP(AG$2,AL[[AL]:[L]],3,FALSE),"W")</f>
        <v>120</v>
      </c>
      <c r="AH7" s="1">
        <f>IF(163-VLOOKUP($T7,AL[[AL]:[L]],2,FALSE)-VLOOKUP(AH$2,AL[[AL]:[L]],3,FALSE)&gt;0,163-VLOOKUP($T7,AL[[AL]:[L]],2,FALSE)-VLOOKUP(AH$2,AL[[AL]:[L]],3,FALSE),"W")</f>
        <v>120</v>
      </c>
      <c r="AI7" s="11">
        <f>IF(163-VLOOKUP($T7,AL[[AL]:[L]],2,FALSE)-VLOOKUP(AI$2,AL[[AL]:[L]],3,FALSE)&gt;0,163-VLOOKUP($T7,AL[[AL]:[L]],2,FALSE)-VLOOKUP(AI$2,AL[[AL]:[L]],3,FALSE),"W")</f>
        <v>115</v>
      </c>
      <c r="AJ7" s="1" t="str">
        <f>IF(AA7="W","WC","")</f>
        <v/>
      </c>
      <c r="AK7" t="str">
        <f t="shared" si="0"/>
        <v/>
      </c>
    </row>
    <row r="8" spans="2:37" ht="15" thickBot="1" x14ac:dyDescent="0.4">
      <c r="B8" t="s">
        <v>20</v>
      </c>
      <c r="C8">
        <f>VLOOKUP(AL[[#This Row],[AL]],simOutput[],2,0)</f>
        <v>21</v>
      </c>
      <c r="D8">
        <f>VLOOKUP(AL[[#This Row],[AL]],simOutput[],3,0)</f>
        <v>16</v>
      </c>
      <c r="E8" s="8">
        <f>(AL[[#This Row],[W]]/AL[[#This Row],[GP]])-AL[[#This Row],[Tiebreak]]/100000</f>
        <v>0.56750756756756759</v>
      </c>
      <c r="F8">
        <f>AL[[#This Row],[W]]+AL[[#This Row],[L]]</f>
        <v>37</v>
      </c>
      <c r="G8">
        <f>162-AL[[#This Row],[GP]]</f>
        <v>125</v>
      </c>
      <c r="H8" t="str">
        <f>IF(AL[[#This Row],[%]]=_xlfn.MAXIFS(AL[%],AL[Division],AL[[#This Row],[Division]]),"Div. Lead",RANK(AL[[#This Row],[%]],AL[%]))</f>
        <v>Div. Lead</v>
      </c>
      <c r="I8" t="s">
        <v>44</v>
      </c>
      <c r="J8">
        <f>VLOOKUP(AL[[#This Row],[AL]],Table_0[],18,0)</f>
        <v>6</v>
      </c>
      <c r="K8" s="25">
        <f>VLOOKUP(AL[[#This Row],[AL]],simOutput[],5,0)</f>
        <v>33</v>
      </c>
      <c r="L8" s="25">
        <f>VLOOKUP(AL[[#This Row],[AL]],Table_0[],12,0)</f>
        <v>33</v>
      </c>
      <c r="M8" s="24">
        <f>VLOOKUP(AL[[#This Row],[AL]],simOutput[],4,0)</f>
        <v>0.61319200000053053</v>
      </c>
      <c r="N8" s="28" t="str">
        <f>IF((AL[[#This Row],[Rdiff-Sim]]-AL[[#This Row],[Rdiff-MLB]])=0,"","ERROR")</f>
        <v/>
      </c>
      <c r="O8" s="15" t="s">
        <v>36</v>
      </c>
      <c r="P8" s="16" t="s">
        <v>7</v>
      </c>
      <c r="Q8" s="17" t="s">
        <v>37</v>
      </c>
      <c r="S8" s="10">
        <v>6</v>
      </c>
      <c r="T8" s="6" t="str" cm="1">
        <f t="array" ref="T8">INDEX(AL[AL],MATCH(SMALL(AL[WC Rank],S8-3),AL[WC Rank],0),0)</f>
        <v>KCR</v>
      </c>
      <c r="U8" s="6">
        <f>IF((163-VLOOKUP($T8,AL[[AL]:[L]],2,FALSE)-VLOOKUP(U$2,AL[[AL]:[L]],3,FALSE))&lt;=(VLOOKUP($T8,AL[[AL]:[GR]],6,FALSE)+VLOOKUP(U$2,AL[[AL]:[GR]],6,FALSE))+1,163-VLOOKUP($T8,AL[[AL]:[L]],2,FALSE)-VLOOKUP(U$2,AL[[AL]:[L]],3,FALSE),"X")</f>
        <v>130</v>
      </c>
      <c r="V8" s="12">
        <f>IF((163-VLOOKUP($T8,AL[[AL]:[L]],2,FALSE)-VLOOKUP(V$2,AL[[AL]:[L]],3,FALSE))&lt;=(VLOOKUP($T8,AL[[AL]:[GR]],6,FALSE)+VLOOKUP(V$2,AL[[AL]:[GR]],6,FALSE))+1,163-VLOOKUP($T8,AL[[AL]:[L]],2,FALSE)-VLOOKUP(V$2,AL[[AL]:[L]],3,FALSE),"X")</f>
        <v>129</v>
      </c>
      <c r="W8" s="13">
        <f>IF((163-VLOOKUP($T8,AL[[AL]:[L]],2,FALSE)-VLOOKUP(W$2,AL[[AL]:[L]],3,FALSE))&lt;=(VLOOKUP($T8,AL[[AL]:[GR]],6,FALSE)+VLOOKUP(W$2,AL[[AL]:[GR]],6,FALSE))+1,163-VLOOKUP($T8,AL[[AL]:[L]],2,FALSE)-VLOOKUP(W$2,AL[[AL]:[L]],3,FALSE),"X")</f>
        <v>126</v>
      </c>
      <c r="X8" s="6">
        <f>IF((163-VLOOKUP($T8,AL[[AL]:[L]],2,FALSE)-VLOOKUP(X$2,AL[[AL]:[L]],3,FALSE))&lt;=(VLOOKUP($T8,AL[[AL]:[GR]],6,FALSE)+VLOOKUP(X$2,AL[[AL]:[GR]],6,FALSE))+1,163-VLOOKUP($T8,AL[[AL]:[L]],2,FALSE)-VLOOKUP(X$2,AL[[AL]:[L]],3,FALSE),"X")</f>
        <v>129</v>
      </c>
      <c r="Y8" s="12">
        <f>IF((163-VLOOKUP($T8,AL[[AL]:[L]],2,FALSE)-VLOOKUP(Y$2,AL[[AL]:[L]],3,FALSE))&lt;=(VLOOKUP($T8,AL[[AL]:[GR]],6,FALSE)+VLOOKUP(Y$2,AL[[AL]:[GR]],6,FALSE))+1,163-VLOOKUP($T8,AL[[AL]:[L]],2,FALSE)-VLOOKUP(Y$2,AL[[AL]:[L]],3,FALSE),"X")</f>
        <v>127</v>
      </c>
      <c r="Z8" s="13"/>
      <c r="AA8" s="12">
        <f>IF(163-VLOOKUP($T8,AL[[AL]:[L]],2,FALSE)-VLOOKUP(AA$2,AL[[AL]:[L]],3,FALSE)&gt;0,163-VLOOKUP($T8,AL[[AL]:[L]],2,FALSE)-VLOOKUP(AA$2,AL[[AL]:[L]],3,FALSE),"W")</f>
        <v>126</v>
      </c>
      <c r="AB8" s="12">
        <f>IF(163-VLOOKUP($T8,AL[[AL]:[L]],2,FALSE)-VLOOKUP(AB$2,AL[[AL]:[L]],3,FALSE)&gt;0,163-VLOOKUP($T8,AL[[AL]:[L]],2,FALSE)-VLOOKUP(AB$2,AL[[AL]:[L]],3,FALSE),"W")</f>
        <v>125</v>
      </c>
      <c r="AC8" s="12">
        <f>IF(163-VLOOKUP($T8,AL[[AL]:[L]],2,FALSE)-VLOOKUP(AC$2,AL[[AL]:[L]],3,FALSE)&gt;0,163-VLOOKUP($T8,AL[[AL]:[L]],2,FALSE)-VLOOKUP(AC$2,AL[[AL]:[L]],3,FALSE),"W")</f>
        <v>125</v>
      </c>
      <c r="AD8" s="12">
        <f>IF(163-VLOOKUP($T8,AL[[AL]:[L]],2,FALSE)-VLOOKUP(AD$2,AL[[AL]:[L]],3,FALSE)&gt;0,163-VLOOKUP($T8,AL[[AL]:[L]],2,FALSE)-VLOOKUP(AD$2,AL[[AL]:[L]],3,FALSE),"W")</f>
        <v>124</v>
      </c>
      <c r="AE8" s="12">
        <f>IF(163-VLOOKUP($T8,AL[[AL]:[L]],2,FALSE)-VLOOKUP(AE$2,AL[[AL]:[L]],3,FALSE)&gt;0,163-VLOOKUP($T8,AL[[AL]:[L]],2,FALSE)-VLOOKUP(AE$2,AL[[AL]:[L]],3,FALSE),"W")</f>
        <v>122</v>
      </c>
      <c r="AF8" s="12">
        <f>IF(163-VLOOKUP($T8,AL[[AL]:[L]],2,FALSE)-VLOOKUP(AF$2,AL[[AL]:[L]],3,FALSE)&gt;0,163-VLOOKUP($T8,AL[[AL]:[L]],2,FALSE)-VLOOKUP(AF$2,AL[[AL]:[L]],3,FALSE),"W")</f>
        <v>122</v>
      </c>
      <c r="AG8" s="12">
        <f>IF(163-VLOOKUP($T8,AL[[AL]:[L]],2,FALSE)-VLOOKUP(AG$2,AL[[AL]:[L]],3,FALSE)&gt;0,163-VLOOKUP($T8,AL[[AL]:[L]],2,FALSE)-VLOOKUP(AG$2,AL[[AL]:[L]],3,FALSE),"W")</f>
        <v>119</v>
      </c>
      <c r="AH8" s="12">
        <f>IF(163-VLOOKUP($T8,AL[[AL]:[L]],2,FALSE)-VLOOKUP(AH$2,AL[[AL]:[L]],3,FALSE)&gt;0,163-VLOOKUP($T8,AL[[AL]:[L]],2,FALSE)-VLOOKUP(AH$2,AL[[AL]:[L]],3,FALSE),"W")</f>
        <v>119</v>
      </c>
      <c r="AI8" s="13">
        <f>IF(163-VLOOKUP($T8,AL[[AL]:[L]],2,FALSE)-VLOOKUP(AI$2,AL[[AL]:[L]],3,FALSE)&gt;0,163-VLOOKUP($T8,AL[[AL]:[L]],2,FALSE)-VLOOKUP(AI$2,AL[[AL]:[L]],3,FALSE),"W")</f>
        <v>114</v>
      </c>
      <c r="AJ8" s="1" t="str">
        <f>IF(AA8="W","WC","")</f>
        <v/>
      </c>
      <c r="AK8" t="str">
        <f t="shared" si="0"/>
        <v/>
      </c>
    </row>
    <row r="9" spans="2:37" x14ac:dyDescent="0.35">
      <c r="B9" t="s">
        <v>19</v>
      </c>
      <c r="C9">
        <f>VLOOKUP(AL[[#This Row],[AL]],simOutput[],2,0)</f>
        <v>20</v>
      </c>
      <c r="D9">
        <f>VLOOKUP(AL[[#This Row],[AL]],simOutput[],3,0)</f>
        <v>16</v>
      </c>
      <c r="E9" s="8">
        <f>(AL[[#This Row],[W]]/AL[[#This Row],[GP]])-AL[[#This Row],[Tiebreak]]/100000</f>
        <v>0.55548555555555557</v>
      </c>
      <c r="F9">
        <f>AL[[#This Row],[W]]+AL[[#This Row],[L]]</f>
        <v>36</v>
      </c>
      <c r="G9">
        <f>162-AL[[#This Row],[GP]]</f>
        <v>126</v>
      </c>
      <c r="H9">
        <f>IF(AL[[#This Row],[%]]=_xlfn.MAXIFS(AL[%],AL[Division],AL[[#This Row],[Division]]),"Div. Lead",RANK(AL[[#This Row],[%]],AL[%]))</f>
        <v>7</v>
      </c>
      <c r="I9" t="s">
        <v>44</v>
      </c>
      <c r="J9">
        <f>VLOOKUP(AL[[#This Row],[AL]],Table_0[],18,0)</f>
        <v>7</v>
      </c>
      <c r="K9" s="25">
        <f>VLOOKUP(AL[[#This Row],[AL]],simOutput[],5,0)</f>
        <v>15</v>
      </c>
      <c r="L9" s="25">
        <f>VLOOKUP(AL[[#This Row],[AL]],Table_0[],12,0)</f>
        <v>15</v>
      </c>
      <c r="M9" s="24">
        <f>VLOOKUP(AL[[#This Row],[AL]],simOutput[],4,0)</f>
        <v>0.53665600000045399</v>
      </c>
      <c r="N9" s="28" t="str">
        <f>IF((AL[[#This Row],[Rdiff-Sim]]-AL[[#This Row],[Rdiff-MLB]])=0,"","ERROR")</f>
        <v/>
      </c>
      <c r="O9" s="18" t="s">
        <v>0</v>
      </c>
      <c r="P9" s="19">
        <f>_xlfn.MAXIFS(AL[%],AL[Division],"ALE")</f>
        <v>0.65713285714285719</v>
      </c>
      <c r="Q9" s="20" t="str" cm="1">
        <f t="array" ref="Q9">INDEX(AL[AL],MATCH(1,(P9=AL[%])*(AL[Division]="ALE"),0),0)</f>
        <v>BAL</v>
      </c>
      <c r="S9" s="9">
        <v>7</v>
      </c>
      <c r="T9" s="5" t="str" cm="1">
        <f t="array" ref="T9">INDEX(AL[AL],MATCH(SMALL(AL[WC Rank],S9-3),AL[WC Rank],0),0)</f>
        <v>SEA</v>
      </c>
      <c r="U9" s="5">
        <f>IF((163-VLOOKUP($T9,AL[[AL]:[L]],2,FALSE)-VLOOKUP(U$2,AL[[AL]:[L]],3,FALSE))&lt;=(VLOOKUP($T9,AL[[AL]:[GR]],6,FALSE)+VLOOKUP(U$2,AL[[AL]:[GR]],6,FALSE))+1,163-VLOOKUP($T9,AL[[AL]:[L]],2,FALSE)-VLOOKUP(U$2,AL[[AL]:[L]],3,FALSE),"X")</f>
        <v>131</v>
      </c>
      <c r="V9" s="1">
        <f>IF((163-VLOOKUP($T9,AL[[AL]:[L]],2,FALSE)-VLOOKUP(V$2,AL[[AL]:[L]],3,FALSE))&lt;=(VLOOKUP($T9,AL[[AL]:[GR]],6,FALSE)+VLOOKUP(V$2,AL[[AL]:[GR]],6,FALSE))+1,163-VLOOKUP($T9,AL[[AL]:[L]],2,FALSE)-VLOOKUP(V$2,AL[[AL]:[L]],3,FALSE),"X")</f>
        <v>130</v>
      </c>
      <c r="W9" s="11">
        <f>IF((163-VLOOKUP($T9,AL[[AL]:[L]],2,FALSE)-VLOOKUP(W$2,AL[[AL]:[L]],3,FALSE))&lt;=(VLOOKUP($T9,AL[[AL]:[GR]],6,FALSE)+VLOOKUP(W$2,AL[[AL]:[GR]],6,FALSE))+1,163-VLOOKUP($T9,AL[[AL]:[L]],2,FALSE)-VLOOKUP(W$2,AL[[AL]:[L]],3,FALSE),"X")</f>
        <v>127</v>
      </c>
      <c r="X9" s="5">
        <f>IF((163-VLOOKUP($T9,AL[[AL]:[L]],2,FALSE)-VLOOKUP(X$2,AL[[AL]:[L]],3,FALSE))&lt;=(VLOOKUP($T9,AL[[AL]:[GR]],6,FALSE)+VLOOKUP(X$2,AL[[AL]:[GR]],6,FALSE))+1,163-VLOOKUP($T9,AL[[AL]:[L]],2,FALSE)-VLOOKUP(X$2,AL[[AL]:[L]],3,FALSE),"X")</f>
        <v>130</v>
      </c>
      <c r="Y9" s="1">
        <f>IF((163-VLOOKUP($T9,AL[[AL]:[L]],2,FALSE)-VLOOKUP(Y$2,AL[[AL]:[L]],3,FALSE))&lt;=(VLOOKUP($T9,AL[[AL]:[GR]],6,FALSE)+VLOOKUP(Y$2,AL[[AL]:[GR]],6,FALSE))+1,163-VLOOKUP($T9,AL[[AL]:[L]],2,FALSE)-VLOOKUP(Y$2,AL[[AL]:[L]],3,FALSE),"X")</f>
        <v>128</v>
      </c>
      <c r="Z9" s="11">
        <f>IF((163-VLOOKUP($T9,AL[[AL]:[L]],2,FALSE)-VLOOKUP(Z$2,AL[[AL]:[L]],3,FALSE))&lt;=(VLOOKUP($T9,AL[[AL]:[GR]],6,FALSE)+VLOOKUP(Z$2,AL[[AL]:[GR]],6,FALSE))+1,163-VLOOKUP($T9,AL[[AL]:[L]],2,FALSE)-VLOOKUP(Z$2,AL[[AL]:[L]],3,FALSE),"X")</f>
        <v>127</v>
      </c>
      <c r="AA9" s="1"/>
      <c r="AB9" s="1">
        <f>IF(163-VLOOKUP($T9,AL[[AL]:[L]],2,FALSE)-VLOOKUP(AB$2,AL[[AL]:[L]],3,FALSE)&gt;0,163-VLOOKUP($T9,AL[[AL]:[L]],2,FALSE)-VLOOKUP(AB$2,AL[[AL]:[L]],3,FALSE),"W")</f>
        <v>126</v>
      </c>
      <c r="AC9" s="1">
        <f>IF(163-VLOOKUP($T9,AL[[AL]:[L]],2,FALSE)-VLOOKUP(AC$2,AL[[AL]:[L]],3,FALSE)&gt;0,163-VLOOKUP($T9,AL[[AL]:[L]],2,FALSE)-VLOOKUP(AC$2,AL[[AL]:[L]],3,FALSE),"W")</f>
        <v>126</v>
      </c>
      <c r="AD9" s="1">
        <f>IF(163-VLOOKUP($T9,AL[[AL]:[L]],2,FALSE)-VLOOKUP(AD$2,AL[[AL]:[L]],3,FALSE)&gt;0,163-VLOOKUP($T9,AL[[AL]:[L]],2,FALSE)-VLOOKUP(AD$2,AL[[AL]:[L]],3,FALSE),"W")</f>
        <v>125</v>
      </c>
      <c r="AE9" s="1">
        <f>IF(163-VLOOKUP($T9,AL[[AL]:[L]],2,FALSE)-VLOOKUP(AE$2,AL[[AL]:[L]],3,FALSE)&gt;0,163-VLOOKUP($T9,AL[[AL]:[L]],2,FALSE)-VLOOKUP(AE$2,AL[[AL]:[L]],3,FALSE),"W")</f>
        <v>123</v>
      </c>
      <c r="AF9" s="1">
        <f>IF(163-VLOOKUP($T9,AL[[AL]:[L]],2,FALSE)-VLOOKUP(AF$2,AL[[AL]:[L]],3,FALSE)&gt;0,163-VLOOKUP($T9,AL[[AL]:[L]],2,FALSE)-VLOOKUP(AF$2,AL[[AL]:[L]],3,FALSE),"W")</f>
        <v>123</v>
      </c>
      <c r="AG9" s="1">
        <f>IF(163-VLOOKUP($T9,AL[[AL]:[L]],2,FALSE)-VLOOKUP(AG$2,AL[[AL]:[L]],3,FALSE)&gt;0,163-VLOOKUP($T9,AL[[AL]:[L]],2,FALSE)-VLOOKUP(AG$2,AL[[AL]:[L]],3,FALSE),"W")</f>
        <v>120</v>
      </c>
      <c r="AH9" s="1">
        <f>IF(163-VLOOKUP($T9,AL[[AL]:[L]],2,FALSE)-VLOOKUP(AH$2,AL[[AL]:[L]],3,FALSE)&gt;0,163-VLOOKUP($T9,AL[[AL]:[L]],2,FALSE)-VLOOKUP(AH$2,AL[[AL]:[L]],3,FALSE),"W")</f>
        <v>120</v>
      </c>
      <c r="AI9" s="11">
        <f>IF(163-VLOOKUP($T9,AL[[AL]:[L]],2,FALSE)-VLOOKUP(AI$2,AL[[AL]:[L]],3,FALSE)&gt;0,163-VLOOKUP($T9,AL[[AL]:[L]],2,FALSE)-VLOOKUP(AI$2,AL[[AL]:[L]],3,FALSE),"W")</f>
        <v>115</v>
      </c>
      <c r="AJ9" s="1" t="str">
        <f>IF(OR(Z9&lt;&gt;"X",163-_xlfn.MAXIFS(AL[W],AL[Division],VLOOKUP(T9,AL[],8,FALSE))-VLOOKUP(T9,AL[],3,FALSE)&gt;0),"","X")</f>
        <v/>
      </c>
      <c r="AK9" t="str">
        <f t="shared" si="0"/>
        <v/>
      </c>
    </row>
    <row r="10" spans="2:37" x14ac:dyDescent="0.35">
      <c r="B10" t="s">
        <v>3</v>
      </c>
      <c r="C10">
        <f>VLOOKUP(AL[[#This Row],[AL]],simOutput[],2,0)</f>
        <v>19</v>
      </c>
      <c r="D10">
        <f>VLOOKUP(AL[[#This Row],[AL]],simOutput[],3,0)</f>
        <v>17</v>
      </c>
      <c r="E10" s="8">
        <f>(AL[[#This Row],[W]]/AL[[#This Row],[GP]])-AL[[#This Row],[Tiebreak]]/100000</f>
        <v>0.52769777777777782</v>
      </c>
      <c r="F10">
        <f>AL[[#This Row],[W]]+AL[[#This Row],[L]]</f>
        <v>36</v>
      </c>
      <c r="G10">
        <f>162-AL[[#This Row],[GP]]</f>
        <v>126</v>
      </c>
      <c r="H10">
        <f>IF(AL[[#This Row],[%]]=_xlfn.MAXIFS(AL[%],AL[Division],AL[[#This Row],[Division]]),"Div. Lead",RANK(AL[[#This Row],[%]],AL[%]))</f>
        <v>8</v>
      </c>
      <c r="I10" t="s">
        <v>42</v>
      </c>
      <c r="J10">
        <f>VLOOKUP(AL[[#This Row],[AL]],Table_0[],18,0)</f>
        <v>8</v>
      </c>
      <c r="K10" s="25">
        <f>VLOOKUP(AL[[#This Row],[AL]],simOutput[],5,0)</f>
        <v>39</v>
      </c>
      <c r="L10" s="25">
        <f>VLOOKUP(AL[[#This Row],[AL]],Table_0[],12,0)</f>
        <v>39</v>
      </c>
      <c r="M10" s="24">
        <f>VLOOKUP(AL[[#This Row],[AL]],simOutput[],4,0)</f>
        <v>0.4612200000003786</v>
      </c>
      <c r="N10" s="28" t="str">
        <f>IF((AL[[#This Row],[Rdiff-Sim]]-AL[[#This Row],[Rdiff-MLB]])=0,"","ERROR")</f>
        <v/>
      </c>
      <c r="O10" s="18" t="s">
        <v>10</v>
      </c>
      <c r="P10" s="19">
        <f>_xlfn.MAXIFS(AL[%],AL[Division],"ALC")</f>
        <v>0.63885888888888887</v>
      </c>
      <c r="Q10" s="20" t="str" cm="1">
        <f t="array" ref="Q10">INDEX(AL[AL],MATCH(1,(P10=AL[%])*(AL[Division]="ALC"),0),0)</f>
        <v>CLE</v>
      </c>
      <c r="S10" s="9">
        <v>8</v>
      </c>
      <c r="T10" s="5" t="str" cm="1">
        <f t="array" ref="T10">INDEX(AL[AL],MATCH(SMALL(AL[WC Rank],S10-3),AL[WC Rank],0),0)</f>
        <v>BOS</v>
      </c>
      <c r="U10" s="5">
        <f>IF((163-VLOOKUP($T10,AL[[AL]:[L]],2,FALSE)-VLOOKUP(U$2,AL[[AL]:[L]],3,FALSE))&lt;=(VLOOKUP($T10,AL[[AL]:[GR]],6,FALSE)+VLOOKUP(U$2,AL[[AL]:[GR]],6,FALSE))+1,163-VLOOKUP($T10,AL[[AL]:[L]],2,FALSE)-VLOOKUP(U$2,AL[[AL]:[L]],3,FALSE),"X")</f>
        <v>132</v>
      </c>
      <c r="V10" s="1">
        <f>IF((163-VLOOKUP($T10,AL[[AL]:[L]],2,FALSE)-VLOOKUP(V$2,AL[[AL]:[L]],3,FALSE))&lt;=(VLOOKUP($T10,AL[[AL]:[GR]],6,FALSE)+VLOOKUP(V$2,AL[[AL]:[GR]],6,FALSE))+1,163-VLOOKUP($T10,AL[[AL]:[L]],2,FALSE)-VLOOKUP(V$2,AL[[AL]:[L]],3,FALSE),"X")</f>
        <v>131</v>
      </c>
      <c r="W10" s="11">
        <f>IF((163-VLOOKUP($T10,AL[[AL]:[L]],2,FALSE)-VLOOKUP(W$2,AL[[AL]:[L]],3,FALSE))&lt;=(VLOOKUP($T10,AL[[AL]:[GR]],6,FALSE)+VLOOKUP(W$2,AL[[AL]:[GR]],6,FALSE))+1,163-VLOOKUP($T10,AL[[AL]:[L]],2,FALSE)-VLOOKUP(W$2,AL[[AL]:[L]],3,FALSE),"X")</f>
        <v>128</v>
      </c>
      <c r="X10" s="5">
        <f>IF((163-VLOOKUP($T10,AL[[AL]:[L]],2,FALSE)-VLOOKUP(X$2,AL[[AL]:[L]],3,FALSE))&lt;=(VLOOKUP($T10,AL[[AL]:[GR]],6,FALSE)+VLOOKUP(X$2,AL[[AL]:[GR]],6,FALSE))+1,163-VLOOKUP($T10,AL[[AL]:[L]],2,FALSE)-VLOOKUP(X$2,AL[[AL]:[L]],3,FALSE),"X")</f>
        <v>131</v>
      </c>
      <c r="Y10" s="1">
        <f>IF((163-VLOOKUP($T10,AL[[AL]:[L]],2,FALSE)-VLOOKUP(Y$2,AL[[AL]:[L]],3,FALSE))&lt;=(VLOOKUP($T10,AL[[AL]:[GR]],6,FALSE)+VLOOKUP(Y$2,AL[[AL]:[GR]],6,FALSE))+1,163-VLOOKUP($T10,AL[[AL]:[L]],2,FALSE)-VLOOKUP(Y$2,AL[[AL]:[L]],3,FALSE),"X")</f>
        <v>129</v>
      </c>
      <c r="Z10" s="11">
        <f>IF((163-VLOOKUP($T10,AL[[AL]:[L]],2,FALSE)-VLOOKUP(Z$2,AL[[AL]:[L]],3,FALSE))&lt;=(VLOOKUP($T10,AL[[AL]:[GR]],6,FALSE)+VLOOKUP(Z$2,AL[[AL]:[GR]],6,FALSE))+1,163-VLOOKUP($T10,AL[[AL]:[L]],2,FALSE)-VLOOKUP(Z$2,AL[[AL]:[L]],3,FALSE),"X")</f>
        <v>128</v>
      </c>
      <c r="AA10" s="1">
        <f>IF((163-VLOOKUP($T10,AL[[AL]:[L]],2,FALSE)-VLOOKUP(AA$2,AL[[AL]:[L]],3,FALSE))&lt;=(VLOOKUP($T10,AL[[AL]:[GR]],6,FALSE)+VLOOKUP(AA$2,AL[[AL]:[GR]],6,FALSE))+1,163-VLOOKUP($T10,AL[[AL]:[L]],2,FALSE)-VLOOKUP(AA$2,AL[[AL]:[L]],3,FALSE),"X")</f>
        <v>128</v>
      </c>
      <c r="AB10" s="1"/>
      <c r="AC10" s="1">
        <f>IF(163-VLOOKUP($T10,AL[[AL]:[L]],2,FALSE)-VLOOKUP(AC$2,AL[[AL]:[L]],3,FALSE)&gt;0,163-VLOOKUP($T10,AL[[AL]:[L]],2,FALSE)-VLOOKUP(AC$2,AL[[AL]:[L]],3,FALSE),"W")</f>
        <v>127</v>
      </c>
      <c r="AD10" s="1">
        <f>IF(163-VLOOKUP($T10,AL[[AL]:[L]],2,FALSE)-VLOOKUP(AD$2,AL[[AL]:[L]],3,FALSE)&gt;0,163-VLOOKUP($T10,AL[[AL]:[L]],2,FALSE)-VLOOKUP(AD$2,AL[[AL]:[L]],3,FALSE),"W")</f>
        <v>126</v>
      </c>
      <c r="AE10" s="1">
        <f>IF(163-VLOOKUP($T10,AL[[AL]:[L]],2,FALSE)-VLOOKUP(AE$2,AL[[AL]:[L]],3,FALSE)&gt;0,163-VLOOKUP($T10,AL[[AL]:[L]],2,FALSE)-VLOOKUP(AE$2,AL[[AL]:[L]],3,FALSE),"W")</f>
        <v>124</v>
      </c>
      <c r="AF10" s="1">
        <f>IF(163-VLOOKUP($T10,AL[[AL]:[L]],2,FALSE)-VLOOKUP(AF$2,AL[[AL]:[L]],3,FALSE)&gt;0,163-VLOOKUP($T10,AL[[AL]:[L]],2,FALSE)-VLOOKUP(AF$2,AL[[AL]:[L]],3,FALSE),"W")</f>
        <v>124</v>
      </c>
      <c r="AG10" s="1">
        <f>IF(163-VLOOKUP($T10,AL[[AL]:[L]],2,FALSE)-VLOOKUP(AG$2,AL[[AL]:[L]],3,FALSE)&gt;0,163-VLOOKUP($T10,AL[[AL]:[L]],2,FALSE)-VLOOKUP(AG$2,AL[[AL]:[L]],3,FALSE),"W")</f>
        <v>121</v>
      </c>
      <c r="AH10" s="1">
        <f>IF(163-VLOOKUP($T10,AL[[AL]:[L]],2,FALSE)-VLOOKUP(AH$2,AL[[AL]:[L]],3,FALSE)&gt;0,163-VLOOKUP($T10,AL[[AL]:[L]],2,FALSE)-VLOOKUP(AH$2,AL[[AL]:[L]],3,FALSE),"W")</f>
        <v>121</v>
      </c>
      <c r="AI10" s="11">
        <f>IF(163-VLOOKUP($T10,AL[[AL]:[L]],2,FALSE)-VLOOKUP(AI$2,AL[[AL]:[L]],3,FALSE)&gt;0,163-VLOOKUP($T10,AL[[AL]:[L]],2,FALSE)-VLOOKUP(AI$2,AL[[AL]:[L]],3,FALSE),"W")</f>
        <v>116</v>
      </c>
      <c r="AJ10" s="1" t="str">
        <f>IF(OR(Z10&lt;&gt;"X",163-_xlfn.MAXIFS(AL[W],AL[Division],VLOOKUP(T10,AL[],8,FALSE))-VLOOKUP(T10,AL[],3,FALSE)&gt;0),"","X")</f>
        <v/>
      </c>
      <c r="AK10" t="str">
        <f t="shared" si="0"/>
        <v/>
      </c>
    </row>
    <row r="11" spans="2:37" x14ac:dyDescent="0.35">
      <c r="B11" t="s">
        <v>17</v>
      </c>
      <c r="C11">
        <f>VLOOKUP(AL[[#This Row],[AL]],simOutput[],2,0)</f>
        <v>19</v>
      </c>
      <c r="D11">
        <f>VLOOKUP(AL[[#This Row],[AL]],simOutput[],3,0)</f>
        <v>17</v>
      </c>
      <c r="E11" s="8">
        <f>(AL[[#This Row],[W]]/AL[[#This Row],[GP]])-AL[[#This Row],[Tiebreak]]/100000</f>
        <v>0.52768777777777776</v>
      </c>
      <c r="F11">
        <f>AL[[#This Row],[W]]+AL[[#This Row],[L]]</f>
        <v>36</v>
      </c>
      <c r="G11">
        <f>162-AL[[#This Row],[GP]]</f>
        <v>126</v>
      </c>
      <c r="H11">
        <f>IF(AL[[#This Row],[%]]=_xlfn.MAXIFS(AL[%],AL[Division],AL[[#This Row],[Division]]),"Div. Lead",RANK(AL[[#This Row],[%]],AL[%]))</f>
        <v>9</v>
      </c>
      <c r="I11" t="s">
        <v>43</v>
      </c>
      <c r="J11">
        <f>VLOOKUP(AL[[#This Row],[AL]],Table_0[],18,0)</f>
        <v>9</v>
      </c>
      <c r="K11" s="25">
        <f>VLOOKUP(AL[[#This Row],[AL]],simOutput[],5,0)</f>
        <v>7</v>
      </c>
      <c r="L11" s="25">
        <f>VLOOKUP(AL[[#This Row],[AL]],Table_0[],12,0)</f>
        <v>7</v>
      </c>
      <c r="M11" s="24">
        <f>VLOOKUP(AL[[#This Row],[AL]],simOutput[],4,0)</f>
        <v>0.37034000000028772</v>
      </c>
      <c r="N11" s="28" t="str">
        <f>IF((AL[[#This Row],[Rdiff-Sim]]-AL[[#This Row],[Rdiff-MLB]])=0,"","ERROR")</f>
        <v/>
      </c>
      <c r="O11" s="21" t="s">
        <v>11</v>
      </c>
      <c r="P11" s="22">
        <f>_xlfn.MAXIFS(AL[%],AL[Division],"ALW")</f>
        <v>0.56750756756756759</v>
      </c>
      <c r="Q11" s="23" t="str" cm="1">
        <f t="array" ref="Q11">INDEX(AL[AL],MATCH(1,(P11=AL[%])*(AL[Division]="ALW"),0),0)</f>
        <v>TEX</v>
      </c>
      <c r="S11" s="9">
        <v>9</v>
      </c>
      <c r="T11" s="5" t="str" cm="1">
        <f t="array" ref="T11">INDEX(AL[AL],MATCH(SMALL(AL[WC Rank],S11-3),AL[WC Rank],0),0)</f>
        <v>DET</v>
      </c>
      <c r="U11" s="5">
        <f>IF((163-VLOOKUP($T11,AL[[AL]:[L]],2,FALSE)-VLOOKUP(U$2,AL[[AL]:[L]],3,FALSE))&lt;=(VLOOKUP($T11,AL[[AL]:[GR]],6,FALSE)+VLOOKUP(U$2,AL[[AL]:[GR]],6,FALSE))+1,163-VLOOKUP($T11,AL[[AL]:[L]],2,FALSE)-VLOOKUP(U$2,AL[[AL]:[L]],3,FALSE),"X")</f>
        <v>132</v>
      </c>
      <c r="V11" s="1">
        <f>IF((163-VLOOKUP($T11,AL[[AL]:[L]],2,FALSE)-VLOOKUP(V$2,AL[[AL]:[L]],3,FALSE))&lt;=(VLOOKUP($T11,AL[[AL]:[GR]],6,FALSE)+VLOOKUP(V$2,AL[[AL]:[GR]],6,FALSE))+1,163-VLOOKUP($T11,AL[[AL]:[L]],2,FALSE)-VLOOKUP(V$2,AL[[AL]:[L]],3,FALSE),"X")</f>
        <v>131</v>
      </c>
      <c r="W11" s="11">
        <f>IF((163-VLOOKUP($T11,AL[[AL]:[L]],2,FALSE)-VLOOKUP(W$2,AL[[AL]:[L]],3,FALSE))&lt;=(VLOOKUP($T11,AL[[AL]:[GR]],6,FALSE)+VLOOKUP(W$2,AL[[AL]:[GR]],6,FALSE))+1,163-VLOOKUP($T11,AL[[AL]:[L]],2,FALSE)-VLOOKUP(W$2,AL[[AL]:[L]],3,FALSE),"X")</f>
        <v>128</v>
      </c>
      <c r="X11" s="5">
        <f>IF((163-VLOOKUP($T11,AL[[AL]:[L]],2,FALSE)-VLOOKUP(X$2,AL[[AL]:[L]],3,FALSE))&lt;=(VLOOKUP($T11,AL[[AL]:[GR]],6,FALSE)+VLOOKUP(X$2,AL[[AL]:[GR]],6,FALSE))+1,163-VLOOKUP($T11,AL[[AL]:[L]],2,FALSE)-VLOOKUP(X$2,AL[[AL]:[L]],3,FALSE),"X")</f>
        <v>131</v>
      </c>
      <c r="Y11" s="1">
        <f>IF((163-VLOOKUP($T11,AL[[AL]:[L]],2,FALSE)-VLOOKUP(Y$2,AL[[AL]:[L]],3,FALSE))&lt;=(VLOOKUP($T11,AL[[AL]:[GR]],6,FALSE)+VLOOKUP(Y$2,AL[[AL]:[GR]],6,FALSE))+1,163-VLOOKUP($T11,AL[[AL]:[L]],2,FALSE)-VLOOKUP(Y$2,AL[[AL]:[L]],3,FALSE),"X")</f>
        <v>129</v>
      </c>
      <c r="Z11" s="11">
        <f>IF((163-VLOOKUP($T11,AL[[AL]:[L]],2,FALSE)-VLOOKUP(Z$2,AL[[AL]:[L]],3,FALSE))&lt;=(VLOOKUP($T11,AL[[AL]:[GR]],6,FALSE)+VLOOKUP(Z$2,AL[[AL]:[GR]],6,FALSE))+1,163-VLOOKUP($T11,AL[[AL]:[L]],2,FALSE)-VLOOKUP(Z$2,AL[[AL]:[L]],3,FALSE),"X")</f>
        <v>128</v>
      </c>
      <c r="AA11" s="1">
        <f>IF((163-VLOOKUP($T11,AL[[AL]:[L]],2,FALSE)-VLOOKUP(AA$2,AL[[AL]:[L]],3,FALSE))&lt;=(VLOOKUP($T11,AL[[AL]:[GR]],6,FALSE)+VLOOKUP(AA$2,AL[[AL]:[GR]],6,FALSE))+1,163-VLOOKUP($T11,AL[[AL]:[L]],2,FALSE)-VLOOKUP(AA$2,AL[[AL]:[L]],3,FALSE),"X")</f>
        <v>128</v>
      </c>
      <c r="AB11" s="1">
        <f>IF((163-VLOOKUP($T11,AL[[AL]:[L]],2,FALSE)-VLOOKUP(AB$2,AL[[AL]:[L]],3,FALSE))&lt;=(VLOOKUP($T11,AL[[AL]:[GR]],6,FALSE)+VLOOKUP(AB$2,AL[[AL]:[GR]],6,FALSE))+1,163-VLOOKUP($T11,AL[[AL]:[L]],2,FALSE)-VLOOKUP(AB$2,AL[[AL]:[L]],3,FALSE),"X")</f>
        <v>127</v>
      </c>
      <c r="AC11" s="1"/>
      <c r="AD11" s="1">
        <f>IF(163-VLOOKUP($T11,AL[[AL]:[L]],2,FALSE)-VLOOKUP(AD$2,AL[[AL]:[L]],3,FALSE)&gt;0,163-VLOOKUP($T11,AL[[AL]:[L]],2,FALSE)-VLOOKUP(AD$2,AL[[AL]:[L]],3,FALSE),"W")</f>
        <v>126</v>
      </c>
      <c r="AE11" s="1">
        <f>IF(163-VLOOKUP($T11,AL[[AL]:[L]],2,FALSE)-VLOOKUP(AE$2,AL[[AL]:[L]],3,FALSE)&gt;0,163-VLOOKUP($T11,AL[[AL]:[L]],2,FALSE)-VLOOKUP(AE$2,AL[[AL]:[L]],3,FALSE),"W")</f>
        <v>124</v>
      </c>
      <c r="AF11" s="1">
        <f>IF(163-VLOOKUP($T11,AL[[AL]:[L]],2,FALSE)-VLOOKUP(AF$2,AL[[AL]:[L]],3,FALSE)&gt;0,163-VLOOKUP($T11,AL[[AL]:[L]],2,FALSE)-VLOOKUP(AF$2,AL[[AL]:[L]],3,FALSE),"W")</f>
        <v>124</v>
      </c>
      <c r="AG11" s="1">
        <f>IF(163-VLOOKUP($T11,AL[[AL]:[L]],2,FALSE)-VLOOKUP(AG$2,AL[[AL]:[L]],3,FALSE)&gt;0,163-VLOOKUP($T11,AL[[AL]:[L]],2,FALSE)-VLOOKUP(AG$2,AL[[AL]:[L]],3,FALSE),"W")</f>
        <v>121</v>
      </c>
      <c r="AH11" s="1">
        <f>IF(163-VLOOKUP($T11,AL[[AL]:[L]],2,FALSE)-VLOOKUP(AH$2,AL[[AL]:[L]],3,FALSE)&gt;0,163-VLOOKUP($T11,AL[[AL]:[L]],2,FALSE)-VLOOKUP(AH$2,AL[[AL]:[L]],3,FALSE),"W")</f>
        <v>121</v>
      </c>
      <c r="AI11" s="11">
        <f>IF(163-VLOOKUP($T11,AL[[AL]:[L]],2,FALSE)-VLOOKUP(AI$2,AL[[AL]:[L]],3,FALSE)&gt;0,163-VLOOKUP($T11,AL[[AL]:[L]],2,FALSE)-VLOOKUP(AI$2,AL[[AL]:[L]],3,FALSE),"W")</f>
        <v>116</v>
      </c>
      <c r="AJ11" s="1" t="str">
        <f>IF(OR(Z11&lt;&gt;"X",163-_xlfn.MAXIFS(AL[W],AL[Division],VLOOKUP(T11,AL[],8,FALSE))-VLOOKUP(T11,AL[],3,FALSE)&gt;0),"","X")</f>
        <v/>
      </c>
      <c r="AK11" t="str">
        <f t="shared" si="0"/>
        <v/>
      </c>
    </row>
    <row r="12" spans="2:37" x14ac:dyDescent="0.35">
      <c r="B12" t="s">
        <v>50</v>
      </c>
      <c r="C12">
        <f>VLOOKUP(AL[[#This Row],[AL]],simOutput[],2,0)</f>
        <v>19</v>
      </c>
      <c r="D12">
        <f>VLOOKUP(AL[[#This Row],[AL]],simOutput[],3,0)</f>
        <v>18</v>
      </c>
      <c r="E12" s="8">
        <f>(AL[[#This Row],[W]]/AL[[#This Row],[GP]])-AL[[#This Row],[Tiebreak]]/100000</f>
        <v>0.5134135135135135</v>
      </c>
      <c r="F12">
        <f>AL[[#This Row],[W]]+AL[[#This Row],[L]]</f>
        <v>37</v>
      </c>
      <c r="G12">
        <f>162-AL[[#This Row],[GP]]</f>
        <v>125</v>
      </c>
      <c r="H12">
        <f>IF(AL[[#This Row],[%]]=_xlfn.MAXIFS(AL[%],AL[Division],AL[[#This Row],[Division]]),"Div. Lead",RANK(AL[[#This Row],[%]],AL[%]))</f>
        <v>10</v>
      </c>
      <c r="I12" t="s">
        <v>42</v>
      </c>
      <c r="J12">
        <f>VLOOKUP(AL[[#This Row],[AL]],Table_0[],18,0)</f>
        <v>10</v>
      </c>
      <c r="K12" s="25">
        <f>VLOOKUP(AL[[#This Row],[AL]],simOutput[],5,0)</f>
        <v>-28</v>
      </c>
      <c r="L12" s="25">
        <f>VLOOKUP(AL[[#This Row],[AL]],Table_0[],12,0)</f>
        <v>-28</v>
      </c>
      <c r="M12" s="24">
        <f>VLOOKUP(AL[[#This Row],[AL]],simOutput[],4,0)</f>
        <v>0.22625200000014364</v>
      </c>
      <c r="N12" s="28" t="str">
        <f>IF((AL[[#This Row],[Rdiff-Sim]]-AL[[#This Row],[Rdiff-MLB]])=0,"","ERROR")</f>
        <v/>
      </c>
      <c r="S12" s="9">
        <v>10</v>
      </c>
      <c r="T12" s="5" t="str" cm="1">
        <f t="array" ref="T12">INDEX(AL[AL],MATCH(SMALL(AL[WC Rank],S12-3),AL[WC Rank],0),0)</f>
        <v>TBR</v>
      </c>
      <c r="U12" s="5">
        <f>IF((163-VLOOKUP($T12,AL[[AL]:[L]],2,FALSE)-VLOOKUP(U$2,AL[[AL]:[L]],3,FALSE))&lt;=(VLOOKUP($T12,AL[[AL]:[GR]],6,FALSE)+VLOOKUP(U$2,AL[[AL]:[GR]],6,FALSE))+1,163-VLOOKUP($T12,AL[[AL]:[L]],2,FALSE)-VLOOKUP(U$2,AL[[AL]:[L]],3,FALSE),"X")</f>
        <v>132</v>
      </c>
      <c r="V12" s="1">
        <f>IF((163-VLOOKUP($T12,AL[[AL]:[L]],2,FALSE)-VLOOKUP(V$2,AL[[AL]:[L]],3,FALSE))&lt;=(VLOOKUP($T12,AL[[AL]:[GR]],6,FALSE)+VLOOKUP(V$2,AL[[AL]:[GR]],6,FALSE))+1,163-VLOOKUP($T12,AL[[AL]:[L]],2,FALSE)-VLOOKUP(V$2,AL[[AL]:[L]],3,FALSE),"X")</f>
        <v>131</v>
      </c>
      <c r="W12" s="11">
        <f>IF((163-VLOOKUP($T12,AL[[AL]:[L]],2,FALSE)-VLOOKUP(W$2,AL[[AL]:[L]],3,FALSE))&lt;=(VLOOKUP($T12,AL[[AL]:[GR]],6,FALSE)+VLOOKUP(W$2,AL[[AL]:[GR]],6,FALSE))+1,163-VLOOKUP($T12,AL[[AL]:[L]],2,FALSE)-VLOOKUP(W$2,AL[[AL]:[L]],3,FALSE),"X")</f>
        <v>128</v>
      </c>
      <c r="X12" s="5">
        <f>IF((163-VLOOKUP($T12,AL[[AL]:[L]],2,FALSE)-VLOOKUP(X$2,AL[[AL]:[L]],3,FALSE))&lt;=(VLOOKUP($T12,AL[[AL]:[GR]],6,FALSE)+VLOOKUP(X$2,AL[[AL]:[GR]],6,FALSE))+1,163-VLOOKUP($T12,AL[[AL]:[L]],2,FALSE)-VLOOKUP(X$2,AL[[AL]:[L]],3,FALSE),"X")</f>
        <v>131</v>
      </c>
      <c r="Y12" s="1">
        <f>IF((163-VLOOKUP($T12,AL[[AL]:[L]],2,FALSE)-VLOOKUP(Y$2,AL[[AL]:[L]],3,FALSE))&lt;=(VLOOKUP($T12,AL[[AL]:[GR]],6,FALSE)+VLOOKUP(Y$2,AL[[AL]:[GR]],6,FALSE))+1,163-VLOOKUP($T12,AL[[AL]:[L]],2,FALSE)-VLOOKUP(Y$2,AL[[AL]:[L]],3,FALSE),"X")</f>
        <v>129</v>
      </c>
      <c r="Z12" s="11">
        <f>IF((163-VLOOKUP($T12,AL[[AL]:[L]],2,FALSE)-VLOOKUP(Z$2,AL[[AL]:[L]],3,FALSE))&lt;=(VLOOKUP($T12,AL[[AL]:[GR]],6,FALSE)+VLOOKUP(Z$2,AL[[AL]:[GR]],6,FALSE))+1,163-VLOOKUP($T12,AL[[AL]:[L]],2,FALSE)-VLOOKUP(Z$2,AL[[AL]:[L]],3,FALSE),"X")</f>
        <v>128</v>
      </c>
      <c r="AA12" s="1">
        <f>IF((163-VLOOKUP($T12,AL[[AL]:[L]],2,FALSE)-VLOOKUP(AA$2,AL[[AL]:[L]],3,FALSE))&lt;=(VLOOKUP($T12,AL[[AL]:[GR]],6,FALSE)+VLOOKUP(AA$2,AL[[AL]:[GR]],6,FALSE))+1,163-VLOOKUP($T12,AL[[AL]:[L]],2,FALSE)-VLOOKUP(AA$2,AL[[AL]:[L]],3,FALSE),"X")</f>
        <v>128</v>
      </c>
      <c r="AB12" s="1">
        <f>IF((163-VLOOKUP($T12,AL[[AL]:[L]],2,FALSE)-VLOOKUP(AB$2,AL[[AL]:[L]],3,FALSE))&lt;=(VLOOKUP($T12,AL[[AL]:[GR]],6,FALSE)+VLOOKUP(AB$2,AL[[AL]:[GR]],6,FALSE))+1,163-VLOOKUP($T12,AL[[AL]:[L]],2,FALSE)-VLOOKUP(AB$2,AL[[AL]:[L]],3,FALSE),"X")</f>
        <v>127</v>
      </c>
      <c r="AC12" s="1">
        <f>IF((163-VLOOKUP($T12,AL[[AL]:[L]],2,FALSE)-VLOOKUP(AC$2,AL[[AL]:[L]],3,FALSE))&lt;=(VLOOKUP($T12,AL[[AL]:[GR]],6,FALSE)+VLOOKUP(AC$2,AL[[AL]:[GR]],6,FALSE))+1,163-VLOOKUP($T12,AL[[AL]:[L]],2,FALSE)-VLOOKUP(AC$2,AL[[AL]:[L]],3,FALSE),"X")</f>
        <v>127</v>
      </c>
      <c r="AD12" s="1"/>
      <c r="AE12" s="1">
        <f>IF(163-VLOOKUP($T12,AL[[AL]:[L]],2,FALSE)-VLOOKUP(AE$2,AL[[AL]:[L]],3,FALSE)&gt;0,163-VLOOKUP($T12,AL[[AL]:[L]],2,FALSE)-VLOOKUP(AE$2,AL[[AL]:[L]],3,FALSE),"W")</f>
        <v>124</v>
      </c>
      <c r="AF12" s="1">
        <f>IF(163-VLOOKUP($T12,AL[[AL]:[L]],2,FALSE)-VLOOKUP(AF$2,AL[[AL]:[L]],3,FALSE)&gt;0,163-VLOOKUP($T12,AL[[AL]:[L]],2,FALSE)-VLOOKUP(AF$2,AL[[AL]:[L]],3,FALSE),"W")</f>
        <v>124</v>
      </c>
      <c r="AG12" s="1">
        <f>IF(163-VLOOKUP($T12,AL[[AL]:[L]],2,FALSE)-VLOOKUP(AG$2,AL[[AL]:[L]],3,FALSE)&gt;0,163-VLOOKUP($T12,AL[[AL]:[L]],2,FALSE)-VLOOKUP(AG$2,AL[[AL]:[L]],3,FALSE),"W")</f>
        <v>121</v>
      </c>
      <c r="AH12" s="1">
        <f>IF(163-VLOOKUP($T12,AL[[AL]:[L]],2,FALSE)-VLOOKUP(AH$2,AL[[AL]:[L]],3,FALSE)&gt;0,163-VLOOKUP($T12,AL[[AL]:[L]],2,FALSE)-VLOOKUP(AH$2,AL[[AL]:[L]],3,FALSE),"W")</f>
        <v>121</v>
      </c>
      <c r="AI12" s="11">
        <f>IF(163-VLOOKUP($T12,AL[[AL]:[L]],2,FALSE)-VLOOKUP(AI$2,AL[[AL]:[L]],3,FALSE)&gt;0,163-VLOOKUP($T12,AL[[AL]:[L]],2,FALSE)-VLOOKUP(AI$2,AL[[AL]:[L]],3,FALSE),"W")</f>
        <v>116</v>
      </c>
      <c r="AJ12" s="1" t="str">
        <f>IF(OR(Z12&lt;&gt;"X",163-_xlfn.MAXIFS(AL[W],AL[Division],VLOOKUP(T12,AL[],8,FALSE))-VLOOKUP(T12,AL[],3,FALSE)&gt;0),"","X")</f>
        <v/>
      </c>
      <c r="AK12" t="str">
        <f t="shared" si="0"/>
        <v/>
      </c>
    </row>
    <row r="13" spans="2:37" x14ac:dyDescent="0.35">
      <c r="B13" t="s">
        <v>22</v>
      </c>
      <c r="C13">
        <f>VLOOKUP(AL[[#This Row],[AL]],simOutput[],2,0)</f>
        <v>17</v>
      </c>
      <c r="D13">
        <f>VLOOKUP(AL[[#This Row],[AL]],simOutput[],3,0)</f>
        <v>20</v>
      </c>
      <c r="E13" s="8">
        <f>(AL[[#This Row],[W]]/AL[[#This Row],[GP]])-AL[[#This Row],[Tiebreak]]/100000</f>
        <v>0.45934945945945949</v>
      </c>
      <c r="F13">
        <f>AL[[#This Row],[W]]+AL[[#This Row],[L]]</f>
        <v>37</v>
      </c>
      <c r="G13">
        <f>162-AL[[#This Row],[GP]]</f>
        <v>125</v>
      </c>
      <c r="H13">
        <f>IF(AL[[#This Row],[%]]=_xlfn.MAXIFS(AL[%],AL[Division],AL[[#This Row],[Division]]),"Div. Lead",RANK(AL[[#This Row],[%]],AL[%]))</f>
        <v>11</v>
      </c>
      <c r="I13" t="s">
        <v>44</v>
      </c>
      <c r="J13">
        <f>VLOOKUP(AL[[#This Row],[AL]],Table_0[],18,0)</f>
        <v>11</v>
      </c>
      <c r="K13" s="25">
        <f>VLOOKUP(AL[[#This Row],[AL]],simOutput[],5,0)</f>
        <v>-32</v>
      </c>
      <c r="L13" s="25">
        <f>VLOOKUP(AL[[#This Row],[AL]],Table_0[],12,0)</f>
        <v>-32</v>
      </c>
      <c r="M13" s="24">
        <f>VLOOKUP(AL[[#This Row],[AL]],simOutput[],4,0)</f>
        <v>0.16994400000008733</v>
      </c>
      <c r="N13" s="28" t="str">
        <f>IF((AL[[#This Row],[Rdiff-Sim]]-AL[[#This Row],[Rdiff-MLB]])=0,"","ERROR")</f>
        <v/>
      </c>
      <c r="S13" s="9">
        <v>11</v>
      </c>
      <c r="T13" s="5" t="str" cm="1">
        <f t="array" ref="T13">INDEX(AL[AL],MATCH(SMALL(AL[WC Rank],S13-3),AL[WC Rank],0),0)</f>
        <v>OAK</v>
      </c>
      <c r="U13" s="5">
        <f>IF((163-VLOOKUP($T13,AL[[AL]:[L]],2,FALSE)-VLOOKUP(U$2,AL[[AL]:[L]],3,FALSE))&lt;=(VLOOKUP($T13,AL[[AL]:[GR]],6,FALSE)+VLOOKUP(U$2,AL[[AL]:[GR]],6,FALSE))+1,163-VLOOKUP($T13,AL[[AL]:[L]],2,FALSE)-VLOOKUP(U$2,AL[[AL]:[L]],3,FALSE),"X")</f>
        <v>134</v>
      </c>
      <c r="V13" s="1">
        <f>IF((163-VLOOKUP($T13,AL[[AL]:[L]],2,FALSE)-VLOOKUP(V$2,AL[[AL]:[L]],3,FALSE))&lt;=(VLOOKUP($T13,AL[[AL]:[GR]],6,FALSE)+VLOOKUP(V$2,AL[[AL]:[GR]],6,FALSE))+1,163-VLOOKUP($T13,AL[[AL]:[L]],2,FALSE)-VLOOKUP(V$2,AL[[AL]:[L]],3,FALSE),"X")</f>
        <v>133</v>
      </c>
      <c r="W13" s="11">
        <f>IF((163-VLOOKUP($T13,AL[[AL]:[L]],2,FALSE)-VLOOKUP(W$2,AL[[AL]:[L]],3,FALSE))&lt;=(VLOOKUP($T13,AL[[AL]:[GR]],6,FALSE)+VLOOKUP(W$2,AL[[AL]:[GR]],6,FALSE))+1,163-VLOOKUP($T13,AL[[AL]:[L]],2,FALSE)-VLOOKUP(W$2,AL[[AL]:[L]],3,FALSE),"X")</f>
        <v>130</v>
      </c>
      <c r="X13" s="5">
        <f>IF((163-VLOOKUP($T13,AL[[AL]:[L]],2,FALSE)-VLOOKUP(X$2,AL[[AL]:[L]],3,FALSE))&lt;=(VLOOKUP($T13,AL[[AL]:[GR]],6,FALSE)+VLOOKUP(X$2,AL[[AL]:[GR]],6,FALSE))+1,163-VLOOKUP($T13,AL[[AL]:[L]],2,FALSE)-VLOOKUP(X$2,AL[[AL]:[L]],3,FALSE),"X")</f>
        <v>133</v>
      </c>
      <c r="Y13" s="1">
        <f>IF((163-VLOOKUP($T13,AL[[AL]:[L]],2,FALSE)-VLOOKUP(Y$2,AL[[AL]:[L]],3,FALSE))&lt;=(VLOOKUP($T13,AL[[AL]:[GR]],6,FALSE)+VLOOKUP(Y$2,AL[[AL]:[GR]],6,FALSE))+1,163-VLOOKUP($T13,AL[[AL]:[L]],2,FALSE)-VLOOKUP(Y$2,AL[[AL]:[L]],3,FALSE),"X")</f>
        <v>131</v>
      </c>
      <c r="Z13" s="11">
        <f>IF((163-VLOOKUP($T13,AL[[AL]:[L]],2,FALSE)-VLOOKUP(Z$2,AL[[AL]:[L]],3,FALSE))&lt;=(VLOOKUP($T13,AL[[AL]:[GR]],6,FALSE)+VLOOKUP(Z$2,AL[[AL]:[GR]],6,FALSE))+1,163-VLOOKUP($T13,AL[[AL]:[L]],2,FALSE)-VLOOKUP(Z$2,AL[[AL]:[L]],3,FALSE),"X")</f>
        <v>130</v>
      </c>
      <c r="AA13" s="1">
        <f>IF((163-VLOOKUP($T13,AL[[AL]:[L]],2,FALSE)-VLOOKUP(AA$2,AL[[AL]:[L]],3,FALSE))&lt;=(VLOOKUP($T13,AL[[AL]:[GR]],6,FALSE)+VLOOKUP(AA$2,AL[[AL]:[GR]],6,FALSE))+1,163-VLOOKUP($T13,AL[[AL]:[L]],2,FALSE)-VLOOKUP(AA$2,AL[[AL]:[L]],3,FALSE),"X")</f>
        <v>130</v>
      </c>
      <c r="AB13" s="1">
        <f>IF((163-VLOOKUP($T13,AL[[AL]:[L]],2,FALSE)-VLOOKUP(AB$2,AL[[AL]:[L]],3,FALSE))&lt;=(VLOOKUP($T13,AL[[AL]:[GR]],6,FALSE)+VLOOKUP(AB$2,AL[[AL]:[GR]],6,FALSE))+1,163-VLOOKUP($T13,AL[[AL]:[L]],2,FALSE)-VLOOKUP(AB$2,AL[[AL]:[L]],3,FALSE),"X")</f>
        <v>129</v>
      </c>
      <c r="AC13" s="1">
        <f>IF((163-VLOOKUP($T13,AL[[AL]:[L]],2,FALSE)-VLOOKUP(AC$2,AL[[AL]:[L]],3,FALSE))&lt;=(VLOOKUP($T13,AL[[AL]:[GR]],6,FALSE)+VLOOKUP(AC$2,AL[[AL]:[GR]],6,FALSE))+1,163-VLOOKUP($T13,AL[[AL]:[L]],2,FALSE)-VLOOKUP(AC$2,AL[[AL]:[L]],3,FALSE),"X")</f>
        <v>129</v>
      </c>
      <c r="AD13" s="1">
        <f>IF((163-VLOOKUP($T13,AL[[AL]:[L]],2,FALSE)-VLOOKUP(AD$2,AL[[AL]:[L]],3,FALSE))&lt;=(VLOOKUP($T13,AL[[AL]:[GR]],6,FALSE)+VLOOKUP(AD$2,AL[[AL]:[GR]],6,FALSE))+1,163-VLOOKUP($T13,AL[[AL]:[L]],2,FALSE)-VLOOKUP(AD$2,AL[[AL]:[L]],3,FALSE),"X")</f>
        <v>128</v>
      </c>
      <c r="AE13" s="1"/>
      <c r="AF13" s="1">
        <f>IF(163-VLOOKUP($T13,AL[[AL]:[L]],2,FALSE)-VLOOKUP(AF$2,AL[[AL]:[L]],3,FALSE)&gt;0,163-VLOOKUP($T13,AL[[AL]:[L]],2,FALSE)-VLOOKUP(AF$2,AL[[AL]:[L]],3,FALSE),"W")</f>
        <v>126</v>
      </c>
      <c r="AG13" s="1">
        <f>IF(163-VLOOKUP($T13,AL[[AL]:[L]],2,FALSE)-VLOOKUP(AG$2,AL[[AL]:[L]],3,FALSE)&gt;0,163-VLOOKUP($T13,AL[[AL]:[L]],2,FALSE)-VLOOKUP(AG$2,AL[[AL]:[L]],3,FALSE),"W")</f>
        <v>123</v>
      </c>
      <c r="AH13" s="1">
        <f>IF(163-VLOOKUP($T13,AL[[AL]:[L]],2,FALSE)-VLOOKUP(AH$2,AL[[AL]:[L]],3,FALSE)&gt;0,163-VLOOKUP($T13,AL[[AL]:[L]],2,FALSE)-VLOOKUP(AH$2,AL[[AL]:[L]],3,FALSE),"W")</f>
        <v>123</v>
      </c>
      <c r="AI13" s="11">
        <f>IF(163-VLOOKUP($T13,AL[[AL]:[L]],2,FALSE)-VLOOKUP(AI$2,AL[[AL]:[L]],3,FALSE)&gt;0,163-VLOOKUP($T13,AL[[AL]:[L]],2,FALSE)-VLOOKUP(AI$2,AL[[AL]:[L]],3,FALSE),"W")</f>
        <v>118</v>
      </c>
      <c r="AJ13" s="1" t="str">
        <f>IF(OR(Z13&lt;&gt;"X",163-_xlfn.MAXIFS(AL[W],AL[Division],VLOOKUP(T13,AL[],8,FALSE))-VLOOKUP(T13,AL[],3,FALSE)&gt;0),"","X")</f>
        <v/>
      </c>
      <c r="AK13" t="str">
        <f t="shared" si="0"/>
        <v/>
      </c>
    </row>
    <row r="14" spans="2:37" x14ac:dyDescent="0.35">
      <c r="B14" t="s">
        <v>2</v>
      </c>
      <c r="C14">
        <f>VLOOKUP(AL[[#This Row],[AL]],simOutput[],2,0)</f>
        <v>16</v>
      </c>
      <c r="D14">
        <f>VLOOKUP(AL[[#This Row],[AL]],simOutput[],3,0)</f>
        <v>20</v>
      </c>
      <c r="E14" s="8">
        <f>(AL[[#This Row],[W]]/AL[[#This Row],[GP]])-AL[[#This Row],[Tiebreak]]/100000</f>
        <v>0.44432444444444441</v>
      </c>
      <c r="F14">
        <f>AL[[#This Row],[W]]+AL[[#This Row],[L]]</f>
        <v>36</v>
      </c>
      <c r="G14">
        <f>162-AL[[#This Row],[GP]]</f>
        <v>126</v>
      </c>
      <c r="H14">
        <f>IF(AL[[#This Row],[%]]=_xlfn.MAXIFS(AL[%],AL[Division],AL[[#This Row],[Division]]),"Div. Lead",RANK(AL[[#This Row],[%]],AL[%]))</f>
        <v>12</v>
      </c>
      <c r="I14" t="s">
        <v>42</v>
      </c>
      <c r="J14">
        <f>VLOOKUP(AL[[#This Row],[AL]],Table_0[],18,0)</f>
        <v>12</v>
      </c>
      <c r="K14" s="25">
        <f>VLOOKUP(AL[[#This Row],[AL]],simOutput[],5,0)</f>
        <v>-46</v>
      </c>
      <c r="L14" s="25">
        <f>VLOOKUP(AL[[#This Row],[AL]],Table_0[],12,0)</f>
        <v>-46</v>
      </c>
      <c r="M14" s="24">
        <f>VLOOKUP(AL[[#This Row],[AL]],simOutput[],4,0)</f>
        <v>0.10076000000001815</v>
      </c>
      <c r="N14" s="28" t="str">
        <f>IF((AL[[#This Row],[Rdiff-Sim]]-AL[[#This Row],[Rdiff-MLB]])=0,"","ERROR")</f>
        <v/>
      </c>
      <c r="S14" s="9">
        <v>12</v>
      </c>
      <c r="T14" s="5" t="str" cm="1">
        <f t="array" ref="T14">INDEX(AL[AL],MATCH(SMALL(AL[WC Rank],S14-3),AL[WC Rank],0),0)</f>
        <v>TOR</v>
      </c>
      <c r="U14" s="5">
        <f>IF((163-VLOOKUP($T14,AL[[AL]:[L]],2,FALSE)-VLOOKUP(U$2,AL[[AL]:[L]],3,FALSE))&lt;=(VLOOKUP($T14,AL[[AL]:[GR]],6,FALSE)+VLOOKUP(U$2,AL[[AL]:[GR]],6,FALSE))+1,163-VLOOKUP($T14,AL[[AL]:[L]],2,FALSE)-VLOOKUP(U$2,AL[[AL]:[L]],3,FALSE),"X")</f>
        <v>135</v>
      </c>
      <c r="V14" s="1">
        <f>IF((163-VLOOKUP($T14,AL[[AL]:[L]],2,FALSE)-VLOOKUP(V$2,AL[[AL]:[L]],3,FALSE))&lt;=(VLOOKUP($T14,AL[[AL]:[GR]],6,FALSE)+VLOOKUP(V$2,AL[[AL]:[GR]],6,FALSE))+1,163-VLOOKUP($T14,AL[[AL]:[L]],2,FALSE)-VLOOKUP(V$2,AL[[AL]:[L]],3,FALSE),"X")</f>
        <v>134</v>
      </c>
      <c r="W14" s="11">
        <f>IF((163-VLOOKUP($T14,AL[[AL]:[L]],2,FALSE)-VLOOKUP(W$2,AL[[AL]:[L]],3,FALSE))&lt;=(VLOOKUP($T14,AL[[AL]:[GR]],6,FALSE)+VLOOKUP(W$2,AL[[AL]:[GR]],6,FALSE))+1,163-VLOOKUP($T14,AL[[AL]:[L]],2,FALSE)-VLOOKUP(W$2,AL[[AL]:[L]],3,FALSE),"X")</f>
        <v>131</v>
      </c>
      <c r="X14" s="5">
        <f>IF((163-VLOOKUP($T14,AL[[AL]:[L]],2,FALSE)-VLOOKUP(X$2,AL[[AL]:[L]],3,FALSE))&lt;=(VLOOKUP($T14,AL[[AL]:[GR]],6,FALSE)+VLOOKUP(X$2,AL[[AL]:[GR]],6,FALSE))+1,163-VLOOKUP($T14,AL[[AL]:[L]],2,FALSE)-VLOOKUP(X$2,AL[[AL]:[L]],3,FALSE),"X")</f>
        <v>134</v>
      </c>
      <c r="Y14" s="1">
        <f>IF((163-VLOOKUP($T14,AL[[AL]:[L]],2,FALSE)-VLOOKUP(Y$2,AL[[AL]:[L]],3,FALSE))&lt;=(VLOOKUP($T14,AL[[AL]:[GR]],6,FALSE)+VLOOKUP(Y$2,AL[[AL]:[GR]],6,FALSE))+1,163-VLOOKUP($T14,AL[[AL]:[L]],2,FALSE)-VLOOKUP(Y$2,AL[[AL]:[L]],3,FALSE),"X")</f>
        <v>132</v>
      </c>
      <c r="Z14" s="11">
        <f>IF((163-VLOOKUP($T14,AL[[AL]:[L]],2,FALSE)-VLOOKUP(Z$2,AL[[AL]:[L]],3,FALSE))&lt;=(VLOOKUP($T14,AL[[AL]:[GR]],6,FALSE)+VLOOKUP(Z$2,AL[[AL]:[GR]],6,FALSE))+1,163-VLOOKUP($T14,AL[[AL]:[L]],2,FALSE)-VLOOKUP(Z$2,AL[[AL]:[L]],3,FALSE),"X")</f>
        <v>131</v>
      </c>
      <c r="AA14" s="1">
        <f>IF((163-VLOOKUP($T14,AL[[AL]:[L]],2,FALSE)-VLOOKUP(AA$2,AL[[AL]:[L]],3,FALSE))&lt;=(VLOOKUP($T14,AL[[AL]:[GR]],6,FALSE)+VLOOKUP(AA$2,AL[[AL]:[GR]],6,FALSE))+1,163-VLOOKUP($T14,AL[[AL]:[L]],2,FALSE)-VLOOKUP(AA$2,AL[[AL]:[L]],3,FALSE),"X")</f>
        <v>131</v>
      </c>
      <c r="AB14" s="1">
        <f>IF((163-VLOOKUP($T14,AL[[AL]:[L]],2,FALSE)-VLOOKUP(AB$2,AL[[AL]:[L]],3,FALSE))&lt;=(VLOOKUP($T14,AL[[AL]:[GR]],6,FALSE)+VLOOKUP(AB$2,AL[[AL]:[GR]],6,FALSE))+1,163-VLOOKUP($T14,AL[[AL]:[L]],2,FALSE)-VLOOKUP(AB$2,AL[[AL]:[L]],3,FALSE),"X")</f>
        <v>130</v>
      </c>
      <c r="AC14" s="1">
        <f>IF((163-VLOOKUP($T14,AL[[AL]:[L]],2,FALSE)-VLOOKUP(AC$2,AL[[AL]:[L]],3,FALSE))&lt;=(VLOOKUP($T14,AL[[AL]:[GR]],6,FALSE)+VLOOKUP(AC$2,AL[[AL]:[GR]],6,FALSE))+1,163-VLOOKUP($T14,AL[[AL]:[L]],2,FALSE)-VLOOKUP(AC$2,AL[[AL]:[L]],3,FALSE),"X")</f>
        <v>130</v>
      </c>
      <c r="AD14" s="1">
        <f>IF((163-VLOOKUP($T14,AL[[AL]:[L]],2,FALSE)-VLOOKUP(AD$2,AL[[AL]:[L]],3,FALSE))&lt;=(VLOOKUP($T14,AL[[AL]:[GR]],6,FALSE)+VLOOKUP(AD$2,AL[[AL]:[GR]],6,FALSE))+1,163-VLOOKUP($T14,AL[[AL]:[L]],2,FALSE)-VLOOKUP(AD$2,AL[[AL]:[L]],3,FALSE),"X")</f>
        <v>129</v>
      </c>
      <c r="AE14" s="1">
        <f>IF((163-VLOOKUP($T14,AL[[AL]:[L]],2,FALSE)-VLOOKUP(AE$2,AL[[AL]:[L]],3,FALSE))&lt;=(VLOOKUP($T14,AL[[AL]:[GR]],6,FALSE)+VLOOKUP(AE$2,AL[[AL]:[GR]],6,FALSE))+1,163-VLOOKUP($T14,AL[[AL]:[L]],2,FALSE)-VLOOKUP(AE$2,AL[[AL]:[L]],3,FALSE),"X")</f>
        <v>127</v>
      </c>
      <c r="AF14" s="1"/>
      <c r="AG14" s="1">
        <f>IF(163-VLOOKUP($T14,AL[[AL]:[L]],2,FALSE)-VLOOKUP(AG$2,AL[[AL]:[L]],3,FALSE)&gt;0,163-VLOOKUP($T14,AL[[AL]:[L]],2,FALSE)-VLOOKUP(AG$2,AL[[AL]:[L]],3,FALSE),"W")</f>
        <v>124</v>
      </c>
      <c r="AH14" s="1">
        <f>IF(163-VLOOKUP($T14,AL[[AL]:[L]],2,FALSE)-VLOOKUP(AH$2,AL[[AL]:[L]],3,FALSE)&gt;0,163-VLOOKUP($T14,AL[[AL]:[L]],2,FALSE)-VLOOKUP(AH$2,AL[[AL]:[L]],3,FALSE),"W")</f>
        <v>124</v>
      </c>
      <c r="AI14" s="11">
        <f>IF(163-VLOOKUP($T14,AL[[AL]:[L]],2,FALSE)-VLOOKUP(AI$2,AL[[AL]:[L]],3,FALSE)&gt;0,163-VLOOKUP($T14,AL[[AL]:[L]],2,FALSE)-VLOOKUP(AI$2,AL[[AL]:[L]],3,FALSE),"W")</f>
        <v>119</v>
      </c>
      <c r="AJ14" s="1" t="str">
        <f>IF(OR(Z14&lt;&gt;"X",163-_xlfn.MAXIFS(AL[W],AL[Division],VLOOKUP(T14,AL[],8,FALSE))-VLOOKUP(T14,AL[],3,FALSE)&gt;0),"","X")</f>
        <v/>
      </c>
      <c r="AK14" t="str">
        <f t="shared" si="0"/>
        <v/>
      </c>
    </row>
    <row r="15" spans="2:37" x14ac:dyDescent="0.35">
      <c r="B15" t="s">
        <v>21</v>
      </c>
      <c r="C15">
        <f>VLOOKUP(AL[[#This Row],[AL]],simOutput[],2,0)</f>
        <v>13</v>
      </c>
      <c r="D15">
        <f>VLOOKUP(AL[[#This Row],[AL]],simOutput[],3,0)</f>
        <v>23</v>
      </c>
      <c r="E15" s="8">
        <f>(AL[[#This Row],[W]]/AL[[#This Row],[GP]])-AL[[#This Row],[Tiebreak]]/100000</f>
        <v>0.36098111111111109</v>
      </c>
      <c r="F15">
        <f>AL[[#This Row],[W]]+AL[[#This Row],[L]]</f>
        <v>36</v>
      </c>
      <c r="G15">
        <f>162-AL[[#This Row],[GP]]</f>
        <v>126</v>
      </c>
      <c r="H15">
        <f>IF(AL[[#This Row],[%]]=_xlfn.MAXIFS(AL[%],AL[Division],AL[[#This Row],[Division]]),"Div. Lead",RANK(AL[[#This Row],[%]],AL[%]))</f>
        <v>13</v>
      </c>
      <c r="I15" t="s">
        <v>44</v>
      </c>
      <c r="J15">
        <f>VLOOKUP(AL[[#This Row],[AL]],Table_0[],18,0)</f>
        <v>13</v>
      </c>
      <c r="K15" s="25">
        <f>VLOOKUP(AL[[#This Row],[AL]],simOutput[],5,0)</f>
        <v>-35</v>
      </c>
      <c r="L15" s="25">
        <f>VLOOKUP(AL[[#This Row],[AL]],Table_0[],12,0)</f>
        <v>-35</v>
      </c>
      <c r="M15" s="24">
        <f>VLOOKUP(AL[[#This Row],[AL]],simOutput[],4,0)</f>
        <v>6.1119999999980905E-2</v>
      </c>
      <c r="N15" s="28" t="str">
        <f>IF((AL[[#This Row],[Rdiff-Sim]]-AL[[#This Row],[Rdiff-MLB]])=0,"","ERROR")</f>
        <v/>
      </c>
      <c r="S15" s="9">
        <v>13</v>
      </c>
      <c r="T15" s="5" t="str" cm="1">
        <f t="array" ref="T15">INDEX(AL[AL],MATCH(SMALL(AL[WC Rank],S15-3),AL[WC Rank],0),0)</f>
        <v>LAA</v>
      </c>
      <c r="U15" s="5">
        <f>IF((163-VLOOKUP($T15,AL[[AL]:[L]],2,FALSE)-VLOOKUP(U$2,AL[[AL]:[L]],3,FALSE))&lt;=(VLOOKUP($T15,AL[[AL]:[GR]],6,FALSE)+VLOOKUP(U$2,AL[[AL]:[GR]],6,FALSE))+1,163-VLOOKUP($T15,AL[[AL]:[L]],2,FALSE)-VLOOKUP(U$2,AL[[AL]:[L]],3,FALSE),"X")</f>
        <v>138</v>
      </c>
      <c r="V15" s="1">
        <f>IF((163-VLOOKUP($T15,AL[[AL]:[L]],2,FALSE)-VLOOKUP(V$2,AL[[AL]:[L]],3,FALSE))&lt;=(VLOOKUP($T15,AL[[AL]:[GR]],6,FALSE)+VLOOKUP(V$2,AL[[AL]:[GR]],6,FALSE))+1,163-VLOOKUP($T15,AL[[AL]:[L]],2,FALSE)-VLOOKUP(V$2,AL[[AL]:[L]],3,FALSE),"X")</f>
        <v>137</v>
      </c>
      <c r="W15" s="11">
        <f>IF((163-VLOOKUP($T15,AL[[AL]:[L]],2,FALSE)-VLOOKUP(W$2,AL[[AL]:[L]],3,FALSE))&lt;=(VLOOKUP($T15,AL[[AL]:[GR]],6,FALSE)+VLOOKUP(W$2,AL[[AL]:[GR]],6,FALSE))+1,163-VLOOKUP($T15,AL[[AL]:[L]],2,FALSE)-VLOOKUP(W$2,AL[[AL]:[L]],3,FALSE),"X")</f>
        <v>134</v>
      </c>
      <c r="X15" s="5">
        <f>IF((163-VLOOKUP($T15,AL[[AL]:[L]],2,FALSE)-VLOOKUP(X$2,AL[[AL]:[L]],3,FALSE))&lt;=(VLOOKUP($T15,AL[[AL]:[GR]],6,FALSE)+VLOOKUP(X$2,AL[[AL]:[GR]],6,FALSE))+1,163-VLOOKUP($T15,AL[[AL]:[L]],2,FALSE)-VLOOKUP(X$2,AL[[AL]:[L]],3,FALSE),"X")</f>
        <v>137</v>
      </c>
      <c r="Y15" s="1">
        <f>IF((163-VLOOKUP($T15,AL[[AL]:[L]],2,FALSE)-VLOOKUP(Y$2,AL[[AL]:[L]],3,FALSE))&lt;=(VLOOKUP($T15,AL[[AL]:[GR]],6,FALSE)+VLOOKUP(Y$2,AL[[AL]:[GR]],6,FALSE))+1,163-VLOOKUP($T15,AL[[AL]:[L]],2,FALSE)-VLOOKUP(Y$2,AL[[AL]:[L]],3,FALSE),"X")</f>
        <v>135</v>
      </c>
      <c r="Z15" s="11">
        <f>IF((163-VLOOKUP($T15,AL[[AL]:[L]],2,FALSE)-VLOOKUP(Z$2,AL[[AL]:[L]],3,FALSE))&lt;=(VLOOKUP($T15,AL[[AL]:[GR]],6,FALSE)+VLOOKUP(Z$2,AL[[AL]:[GR]],6,FALSE))+1,163-VLOOKUP($T15,AL[[AL]:[L]],2,FALSE)-VLOOKUP(Z$2,AL[[AL]:[L]],3,FALSE),"X")</f>
        <v>134</v>
      </c>
      <c r="AA15" s="1">
        <f>IF((163-VLOOKUP($T15,AL[[AL]:[L]],2,FALSE)-VLOOKUP(AA$2,AL[[AL]:[L]],3,FALSE))&lt;=(VLOOKUP($T15,AL[[AL]:[GR]],6,FALSE)+VLOOKUP(AA$2,AL[[AL]:[GR]],6,FALSE))+1,163-VLOOKUP($T15,AL[[AL]:[L]],2,FALSE)-VLOOKUP(AA$2,AL[[AL]:[L]],3,FALSE),"X")</f>
        <v>134</v>
      </c>
      <c r="AB15" s="1">
        <f>IF((163-VLOOKUP($T15,AL[[AL]:[L]],2,FALSE)-VLOOKUP(AB$2,AL[[AL]:[L]],3,FALSE))&lt;=(VLOOKUP($T15,AL[[AL]:[GR]],6,FALSE)+VLOOKUP(AB$2,AL[[AL]:[GR]],6,FALSE))+1,163-VLOOKUP($T15,AL[[AL]:[L]],2,FALSE)-VLOOKUP(AB$2,AL[[AL]:[L]],3,FALSE),"X")</f>
        <v>133</v>
      </c>
      <c r="AC15" s="1">
        <f>IF((163-VLOOKUP($T15,AL[[AL]:[L]],2,FALSE)-VLOOKUP(AC$2,AL[[AL]:[L]],3,FALSE))&lt;=(VLOOKUP($T15,AL[[AL]:[GR]],6,FALSE)+VLOOKUP(AC$2,AL[[AL]:[GR]],6,FALSE))+1,163-VLOOKUP($T15,AL[[AL]:[L]],2,FALSE)-VLOOKUP(AC$2,AL[[AL]:[L]],3,FALSE),"X")</f>
        <v>133</v>
      </c>
      <c r="AD15" s="1">
        <f>IF((163-VLOOKUP($T15,AL[[AL]:[L]],2,FALSE)-VLOOKUP(AD$2,AL[[AL]:[L]],3,FALSE))&lt;=(VLOOKUP($T15,AL[[AL]:[GR]],6,FALSE)+VLOOKUP(AD$2,AL[[AL]:[GR]],6,FALSE))+1,163-VLOOKUP($T15,AL[[AL]:[L]],2,FALSE)-VLOOKUP(AD$2,AL[[AL]:[L]],3,FALSE),"X")</f>
        <v>132</v>
      </c>
      <c r="AE15" s="1">
        <f>IF((163-VLOOKUP($T15,AL[[AL]:[L]],2,FALSE)-VLOOKUP(AE$2,AL[[AL]:[L]],3,FALSE))&lt;=(VLOOKUP($T15,AL[[AL]:[GR]],6,FALSE)+VLOOKUP(AE$2,AL[[AL]:[GR]],6,FALSE))+1,163-VLOOKUP($T15,AL[[AL]:[L]],2,FALSE)-VLOOKUP(AE$2,AL[[AL]:[L]],3,FALSE),"X")</f>
        <v>130</v>
      </c>
      <c r="AF15" s="1">
        <f>IF((163-VLOOKUP($T15,AL[[AL]:[L]],2,FALSE)-VLOOKUP(AF$2,AL[[AL]:[L]],3,FALSE))&lt;=(VLOOKUP($T15,AL[[AL]:[GR]],6,FALSE)+VLOOKUP(AF$2,AL[[AL]:[GR]],6,FALSE))+1,163-VLOOKUP($T15,AL[[AL]:[L]],2,FALSE)-VLOOKUP(AF$2,AL[[AL]:[L]],3,FALSE),"X")</f>
        <v>130</v>
      </c>
      <c r="AG15" s="1"/>
      <c r="AH15" s="1">
        <f>IF(163-VLOOKUP($T15,AL[[AL]:[L]],2,FALSE)-VLOOKUP(AH$2,AL[[AL]:[L]],3,FALSE)&gt;0,163-VLOOKUP($T15,AL[[AL]:[L]],2,FALSE)-VLOOKUP(AH$2,AL[[AL]:[L]],3,FALSE),"W")</f>
        <v>127</v>
      </c>
      <c r="AI15" s="11">
        <f>IF(163-VLOOKUP($T15,AL[[AL]:[L]],2,FALSE)-VLOOKUP(AI$2,AL[[AL]:[L]],3,FALSE)&gt;0,163-VLOOKUP($T15,AL[[AL]:[L]],2,FALSE)-VLOOKUP(AI$2,AL[[AL]:[L]],3,FALSE),"W")</f>
        <v>122</v>
      </c>
      <c r="AJ15" s="1" t="str">
        <f>IF(OR(Z15&lt;&gt;"X",163-_xlfn.MAXIFS(AL[W],AL[Division],VLOOKUP(T15,AL[],8,FALSE))-VLOOKUP(T15,AL[],3,FALSE)&gt;0),"","X")</f>
        <v/>
      </c>
      <c r="AK15" t="str">
        <f t="shared" si="0"/>
        <v/>
      </c>
    </row>
    <row r="16" spans="2:37" x14ac:dyDescent="0.35">
      <c r="B16" t="s">
        <v>18</v>
      </c>
      <c r="C16">
        <f>VLOOKUP(AL[[#This Row],[AL]],simOutput[],2,0)</f>
        <v>12</v>
      </c>
      <c r="D16">
        <f>VLOOKUP(AL[[#This Row],[AL]],simOutput[],3,0)</f>
        <v>23</v>
      </c>
      <c r="E16" s="8">
        <f>(AL[[#This Row],[W]]/AL[[#This Row],[GP]])-AL[[#This Row],[Tiebreak]]/100000</f>
        <v>0.34271714285714289</v>
      </c>
      <c r="F16">
        <f>AL[[#This Row],[W]]+AL[[#This Row],[L]]</f>
        <v>35</v>
      </c>
      <c r="G16">
        <f>162-AL[[#This Row],[GP]]</f>
        <v>127</v>
      </c>
      <c r="H16">
        <f>IF(AL[[#This Row],[%]]=_xlfn.MAXIFS(AL[%],AL[Division],AL[[#This Row],[Division]]),"Div. Lead",RANK(AL[[#This Row],[%]],AL[%]))</f>
        <v>14</v>
      </c>
      <c r="I16" t="s">
        <v>44</v>
      </c>
      <c r="J16">
        <f>VLOOKUP(AL[[#This Row],[AL]],Table_0[],18,0)</f>
        <v>14</v>
      </c>
      <c r="K16" s="25">
        <f>VLOOKUP(AL[[#This Row],[AL]],simOutput[],5,0)</f>
        <v>-27</v>
      </c>
      <c r="L16" s="25">
        <f>VLOOKUP(AL[[#This Row],[AL]],Table_0[],12,0)</f>
        <v>-27</v>
      </c>
      <c r="M16" s="24">
        <f>VLOOKUP(AL[[#This Row],[AL]],simOutput[],4,0)</f>
        <v>5.9831999999981851E-2</v>
      </c>
      <c r="N16" s="28" t="str">
        <f>IF((AL[[#This Row],[Rdiff-Sim]]-AL[[#This Row],[Rdiff-MLB]])=0,"","ERROR")</f>
        <v/>
      </c>
      <c r="S16" s="9">
        <v>14</v>
      </c>
      <c r="T16" s="5" t="str" cm="1">
        <f t="array" ref="T16">INDEX(AL[AL],MATCH(SMALL(AL[WC Rank],S16-3),AL[WC Rank],0),0)</f>
        <v>HOU</v>
      </c>
      <c r="U16" s="5">
        <f>IF((163-VLOOKUP($T16,AL[[AL]:[L]],2,FALSE)-VLOOKUP(U$2,AL[[AL]:[L]],3,FALSE))&lt;=(VLOOKUP($T16,AL[[AL]:[GR]],6,FALSE)+VLOOKUP(U$2,AL[[AL]:[GR]],6,FALSE))+1,163-VLOOKUP($T16,AL[[AL]:[L]],2,FALSE)-VLOOKUP(U$2,AL[[AL]:[L]],3,FALSE),"X")</f>
        <v>139</v>
      </c>
      <c r="V16" s="1">
        <f>IF((163-VLOOKUP($T16,AL[[AL]:[L]],2,FALSE)-VLOOKUP(V$2,AL[[AL]:[L]],3,FALSE))&lt;=(VLOOKUP($T16,AL[[AL]:[GR]],6,FALSE)+VLOOKUP(V$2,AL[[AL]:[GR]],6,FALSE))+1,163-VLOOKUP($T16,AL[[AL]:[L]],2,FALSE)-VLOOKUP(V$2,AL[[AL]:[L]],3,FALSE),"X")</f>
        <v>138</v>
      </c>
      <c r="W16" s="11">
        <f>IF((163-VLOOKUP($T16,AL[[AL]:[L]],2,FALSE)-VLOOKUP(W$2,AL[[AL]:[L]],3,FALSE))&lt;=(VLOOKUP($T16,AL[[AL]:[GR]],6,FALSE)+VLOOKUP(W$2,AL[[AL]:[GR]],6,FALSE))+1,163-VLOOKUP($T16,AL[[AL]:[L]],2,FALSE)-VLOOKUP(W$2,AL[[AL]:[L]],3,FALSE),"X")</f>
        <v>135</v>
      </c>
      <c r="X16" s="5">
        <f>IF((163-VLOOKUP($T16,AL[[AL]:[L]],2,FALSE)-VLOOKUP(X$2,AL[[AL]:[L]],3,FALSE))&lt;=(VLOOKUP($T16,AL[[AL]:[GR]],6,FALSE)+VLOOKUP(X$2,AL[[AL]:[GR]],6,FALSE))+1,163-VLOOKUP($T16,AL[[AL]:[L]],2,FALSE)-VLOOKUP(X$2,AL[[AL]:[L]],3,FALSE),"X")</f>
        <v>138</v>
      </c>
      <c r="Y16" s="1">
        <f>IF((163-VLOOKUP($T16,AL[[AL]:[L]],2,FALSE)-VLOOKUP(Y$2,AL[[AL]:[L]],3,FALSE))&lt;=(VLOOKUP($T16,AL[[AL]:[GR]],6,FALSE)+VLOOKUP(Y$2,AL[[AL]:[GR]],6,FALSE))+1,163-VLOOKUP($T16,AL[[AL]:[L]],2,FALSE)-VLOOKUP(Y$2,AL[[AL]:[L]],3,FALSE),"X")</f>
        <v>136</v>
      </c>
      <c r="Z16" s="11">
        <f>IF((163-VLOOKUP($T16,AL[[AL]:[L]],2,FALSE)-VLOOKUP(Z$2,AL[[AL]:[L]],3,FALSE))&lt;=(VLOOKUP($T16,AL[[AL]:[GR]],6,FALSE)+VLOOKUP(Z$2,AL[[AL]:[GR]],6,FALSE))+1,163-VLOOKUP($T16,AL[[AL]:[L]],2,FALSE)-VLOOKUP(Z$2,AL[[AL]:[L]],3,FALSE),"X")</f>
        <v>135</v>
      </c>
      <c r="AA16" s="1">
        <f>IF((163-VLOOKUP($T16,AL[[AL]:[L]],2,FALSE)-VLOOKUP(AA$2,AL[[AL]:[L]],3,FALSE))&lt;=(VLOOKUP($T16,AL[[AL]:[GR]],6,FALSE)+VLOOKUP(AA$2,AL[[AL]:[GR]],6,FALSE))+1,163-VLOOKUP($T16,AL[[AL]:[L]],2,FALSE)-VLOOKUP(AA$2,AL[[AL]:[L]],3,FALSE),"X")</f>
        <v>135</v>
      </c>
      <c r="AB16" s="1">
        <f>IF((163-VLOOKUP($T16,AL[[AL]:[L]],2,FALSE)-VLOOKUP(AB$2,AL[[AL]:[L]],3,FALSE))&lt;=(VLOOKUP($T16,AL[[AL]:[GR]],6,FALSE)+VLOOKUP(AB$2,AL[[AL]:[GR]],6,FALSE))+1,163-VLOOKUP($T16,AL[[AL]:[L]],2,FALSE)-VLOOKUP(AB$2,AL[[AL]:[L]],3,FALSE),"X")</f>
        <v>134</v>
      </c>
      <c r="AC16" s="1">
        <f>IF((163-VLOOKUP($T16,AL[[AL]:[L]],2,FALSE)-VLOOKUP(AC$2,AL[[AL]:[L]],3,FALSE))&lt;=(VLOOKUP($T16,AL[[AL]:[GR]],6,FALSE)+VLOOKUP(AC$2,AL[[AL]:[GR]],6,FALSE))+1,163-VLOOKUP($T16,AL[[AL]:[L]],2,FALSE)-VLOOKUP(AC$2,AL[[AL]:[L]],3,FALSE),"X")</f>
        <v>134</v>
      </c>
      <c r="AD16" s="1">
        <f>IF((163-VLOOKUP($T16,AL[[AL]:[L]],2,FALSE)-VLOOKUP(AD$2,AL[[AL]:[L]],3,FALSE))&lt;=(VLOOKUP($T16,AL[[AL]:[GR]],6,FALSE)+VLOOKUP(AD$2,AL[[AL]:[GR]],6,FALSE))+1,163-VLOOKUP($T16,AL[[AL]:[L]],2,FALSE)-VLOOKUP(AD$2,AL[[AL]:[L]],3,FALSE),"X")</f>
        <v>133</v>
      </c>
      <c r="AE16" s="1">
        <f>IF((163-VLOOKUP($T16,AL[[AL]:[L]],2,FALSE)-VLOOKUP(AE$2,AL[[AL]:[L]],3,FALSE))&lt;=(VLOOKUP($T16,AL[[AL]:[GR]],6,FALSE)+VLOOKUP(AE$2,AL[[AL]:[GR]],6,FALSE))+1,163-VLOOKUP($T16,AL[[AL]:[L]],2,FALSE)-VLOOKUP(AE$2,AL[[AL]:[L]],3,FALSE),"X")</f>
        <v>131</v>
      </c>
      <c r="AF16" s="1">
        <f>IF((163-VLOOKUP($T16,AL[[AL]:[L]],2,FALSE)-VLOOKUP(AF$2,AL[[AL]:[L]],3,FALSE))&lt;=(VLOOKUP($T16,AL[[AL]:[GR]],6,FALSE)+VLOOKUP(AF$2,AL[[AL]:[GR]],6,FALSE))+1,163-VLOOKUP($T16,AL[[AL]:[L]],2,FALSE)-VLOOKUP(AF$2,AL[[AL]:[L]],3,FALSE),"X")</f>
        <v>131</v>
      </c>
      <c r="AG16" s="1">
        <f>IF((163-VLOOKUP($T16,AL[[AL]:[L]],2,FALSE)-VLOOKUP(AG$2,AL[[AL]:[L]],3,FALSE))&lt;=(VLOOKUP($T16,AL[[AL]:[GR]],6,FALSE)+VLOOKUP(AG$2,AL[[AL]:[GR]],6,FALSE))+1,163-VLOOKUP($T16,AL[[AL]:[L]],2,FALSE)-VLOOKUP(AG$2,AL[[AL]:[L]],3,FALSE),"X")</f>
        <v>128</v>
      </c>
      <c r="AH16" s="1"/>
      <c r="AI16" s="11">
        <f>IF(163-VLOOKUP($T16,AL[[AL]:[L]],2,FALSE)-VLOOKUP(AI$2,AL[[AL]:[L]],3,FALSE)&gt;0,163-VLOOKUP($T16,AL[[AL]:[L]],2,FALSE)-VLOOKUP(AI$2,AL[[AL]:[L]],3,FALSE),"W")</f>
        <v>123</v>
      </c>
      <c r="AJ16" s="1" t="str">
        <f>IF(OR(Z16&lt;&gt;"X",163-_xlfn.MAXIFS(AL[W],AL[Division],VLOOKUP(T16,AL[],8,FALSE))-VLOOKUP(T16,AL[],3,FALSE)&gt;0),"","X")</f>
        <v/>
      </c>
      <c r="AK16" t="str">
        <f t="shared" si="0"/>
        <v/>
      </c>
    </row>
    <row r="17" spans="2:37" ht="15" thickBot="1" x14ac:dyDescent="0.4">
      <c r="B17" t="s">
        <v>49</v>
      </c>
      <c r="C17">
        <f>VLOOKUP(AL[[#This Row],[AL]],simOutput[],2,0)</f>
        <v>8</v>
      </c>
      <c r="D17">
        <f>VLOOKUP(AL[[#This Row],[AL]],simOutput[],3,0)</f>
        <v>28</v>
      </c>
      <c r="E17" s="8">
        <f>(AL[[#This Row],[W]]/AL[[#This Row],[GP]])-AL[[#This Row],[Tiebreak]]/100000</f>
        <v>0.2220722222222222</v>
      </c>
      <c r="F17">
        <f>AL[[#This Row],[W]]+AL[[#This Row],[L]]</f>
        <v>36</v>
      </c>
      <c r="G17">
        <f>162-AL[[#This Row],[GP]]</f>
        <v>126</v>
      </c>
      <c r="H17">
        <f>IF(AL[[#This Row],[%]]=_xlfn.MAXIFS(AL[%],AL[Division],AL[[#This Row],[Division]]),"Div. Lead",RANK(AL[[#This Row],[%]],AL[%]))</f>
        <v>15</v>
      </c>
      <c r="I17" t="s">
        <v>43</v>
      </c>
      <c r="J17">
        <f>VLOOKUP(AL[[#This Row],[AL]],Table_0[],18,0)</f>
        <v>15</v>
      </c>
      <c r="K17" s="25">
        <f>VLOOKUP(AL[[#This Row],[AL]],simOutput[],5,0)</f>
        <v>-92</v>
      </c>
      <c r="L17" s="25">
        <f>VLOOKUP(AL[[#This Row],[AL]],Table_0[],12,0)</f>
        <v>-92</v>
      </c>
      <c r="M17" s="24">
        <f>VLOOKUP(AL[[#This Row],[AL]],simOutput[],4,0)</f>
        <v>1.7640000000000169E-3</v>
      </c>
      <c r="N17" s="28" t="str">
        <f>IF((AL[[#This Row],[Rdiff-Sim]]-AL[[#This Row],[Rdiff-MLB]])=0,"","ERROR")</f>
        <v/>
      </c>
      <c r="O17" s="15" t="s">
        <v>92</v>
      </c>
      <c r="P17" s="16">
        <f>(SUM(AL[GP])+SUM(NL[GP]))/2</f>
        <v>543</v>
      </c>
      <c r="Q17" s="26">
        <f>P17/2430</f>
        <v>0.22345679012345679</v>
      </c>
      <c r="S17" s="9">
        <v>15</v>
      </c>
      <c r="T17" s="6" t="str" cm="1">
        <f t="array" ref="T17">INDEX(AL[AL],MATCH(SMALL(AL[WC Rank],S17-3),AL[WC Rank],0),0)</f>
        <v>CHW</v>
      </c>
      <c r="U17" s="6">
        <f>IF((163-VLOOKUP($T17,AL[[AL]:[L]],2,FALSE)-VLOOKUP(U$2,AL[[AL]:[L]],3,FALSE))&lt;=(VLOOKUP($T17,AL[[AL]:[GR]],6,FALSE)+VLOOKUP(U$2,AL[[AL]:[GR]],6,FALSE))+1,163-VLOOKUP($T17,AL[[AL]:[L]],2,FALSE)-VLOOKUP(U$2,AL[[AL]:[L]],3,FALSE),"X")</f>
        <v>143</v>
      </c>
      <c r="V17" s="12">
        <f>IF((163-VLOOKUP($T17,AL[[AL]:[L]],2,FALSE)-VLOOKUP(V$2,AL[[AL]:[L]],3,FALSE))&lt;=(VLOOKUP($T17,AL[[AL]:[GR]],6,FALSE)+VLOOKUP(V$2,AL[[AL]:[GR]],6,FALSE))+1,163-VLOOKUP($T17,AL[[AL]:[L]],2,FALSE)-VLOOKUP(V$2,AL[[AL]:[L]],3,FALSE),"X")</f>
        <v>142</v>
      </c>
      <c r="W17" s="13">
        <f>IF((163-VLOOKUP($T17,AL[[AL]:[L]],2,FALSE)-VLOOKUP(W$2,AL[[AL]:[L]],3,FALSE))&lt;=(VLOOKUP($T17,AL[[AL]:[GR]],6,FALSE)+VLOOKUP(W$2,AL[[AL]:[GR]],6,FALSE))+1,163-VLOOKUP($T17,AL[[AL]:[L]],2,FALSE)-VLOOKUP(W$2,AL[[AL]:[L]],3,FALSE),"X")</f>
        <v>139</v>
      </c>
      <c r="X17" s="6">
        <f>IF((163-VLOOKUP($T17,AL[[AL]:[L]],2,FALSE)-VLOOKUP(X$2,AL[[AL]:[L]],3,FALSE))&lt;=(VLOOKUP($T17,AL[[AL]:[GR]],6,FALSE)+VLOOKUP(X$2,AL[[AL]:[GR]],6,FALSE))+1,163-VLOOKUP($T17,AL[[AL]:[L]],2,FALSE)-VLOOKUP(X$2,AL[[AL]:[L]],3,FALSE),"X")</f>
        <v>142</v>
      </c>
      <c r="Y17" s="12">
        <f>IF((163-VLOOKUP($T17,AL[[AL]:[L]],2,FALSE)-VLOOKUP(Y$2,AL[[AL]:[L]],3,FALSE))&lt;=(VLOOKUP($T17,AL[[AL]:[GR]],6,FALSE)+VLOOKUP(Y$2,AL[[AL]:[GR]],6,FALSE))+1,163-VLOOKUP($T17,AL[[AL]:[L]],2,FALSE)-VLOOKUP(Y$2,AL[[AL]:[L]],3,FALSE),"X")</f>
        <v>140</v>
      </c>
      <c r="Z17" s="13">
        <f>IF((163-VLOOKUP($T17,AL[[AL]:[L]],2,FALSE)-VLOOKUP(Z$2,AL[[AL]:[L]],3,FALSE))&lt;=(VLOOKUP($T17,AL[[AL]:[GR]],6,FALSE)+VLOOKUP(Z$2,AL[[AL]:[GR]],6,FALSE))+1,163-VLOOKUP($T17,AL[[AL]:[L]],2,FALSE)-VLOOKUP(Z$2,AL[[AL]:[L]],3,FALSE),"X")</f>
        <v>139</v>
      </c>
      <c r="AA17" s="12">
        <f>IF((163-VLOOKUP($T17,AL[[AL]:[L]],2,FALSE)-VLOOKUP(AA$2,AL[[AL]:[L]],3,FALSE))&lt;=(VLOOKUP($T17,AL[[AL]:[GR]],6,FALSE)+VLOOKUP(AA$2,AL[[AL]:[GR]],6,FALSE))+1,163-VLOOKUP($T17,AL[[AL]:[L]],2,FALSE)-VLOOKUP(AA$2,AL[[AL]:[L]],3,FALSE),"X")</f>
        <v>139</v>
      </c>
      <c r="AB17" s="12">
        <f>IF((163-VLOOKUP($T17,AL[[AL]:[L]],2,FALSE)-VLOOKUP(AB$2,AL[[AL]:[L]],3,FALSE))&lt;=(VLOOKUP($T17,AL[[AL]:[GR]],6,FALSE)+VLOOKUP(AB$2,AL[[AL]:[GR]],6,FALSE))+1,163-VLOOKUP($T17,AL[[AL]:[L]],2,FALSE)-VLOOKUP(AB$2,AL[[AL]:[L]],3,FALSE),"X")</f>
        <v>138</v>
      </c>
      <c r="AC17" s="12">
        <f>IF((163-VLOOKUP($T17,AL[[AL]:[L]],2,FALSE)-VLOOKUP(AC$2,AL[[AL]:[L]],3,FALSE))&lt;=(VLOOKUP($T17,AL[[AL]:[GR]],6,FALSE)+VLOOKUP(AC$2,AL[[AL]:[GR]],6,FALSE))+1,163-VLOOKUP($T17,AL[[AL]:[L]],2,FALSE)-VLOOKUP(AC$2,AL[[AL]:[L]],3,FALSE),"X")</f>
        <v>138</v>
      </c>
      <c r="AD17" s="12">
        <f>IF((163-VLOOKUP($T17,AL[[AL]:[L]],2,FALSE)-VLOOKUP(AD$2,AL[[AL]:[L]],3,FALSE))&lt;=(VLOOKUP($T17,AL[[AL]:[GR]],6,FALSE)+VLOOKUP(AD$2,AL[[AL]:[GR]],6,FALSE))+1,163-VLOOKUP($T17,AL[[AL]:[L]],2,FALSE)-VLOOKUP(AD$2,AL[[AL]:[L]],3,FALSE),"X")</f>
        <v>137</v>
      </c>
      <c r="AE17" s="12">
        <f>IF((163-VLOOKUP($T17,AL[[AL]:[L]],2,FALSE)-VLOOKUP(AE$2,AL[[AL]:[L]],3,FALSE))&lt;=(VLOOKUP($T17,AL[[AL]:[GR]],6,FALSE)+VLOOKUP(AE$2,AL[[AL]:[GR]],6,FALSE))+1,163-VLOOKUP($T17,AL[[AL]:[L]],2,FALSE)-VLOOKUP(AE$2,AL[[AL]:[L]],3,FALSE),"X")</f>
        <v>135</v>
      </c>
      <c r="AF17" s="12">
        <f>IF((163-VLOOKUP($T17,AL[[AL]:[L]],2,FALSE)-VLOOKUP(AF$2,AL[[AL]:[L]],3,FALSE))&lt;=(VLOOKUP($T17,AL[[AL]:[GR]],6,FALSE)+VLOOKUP(AF$2,AL[[AL]:[GR]],6,FALSE))+1,163-VLOOKUP($T17,AL[[AL]:[L]],2,FALSE)-VLOOKUP(AF$2,AL[[AL]:[L]],3,FALSE),"X")</f>
        <v>135</v>
      </c>
      <c r="AG17" s="12">
        <f>IF((163-VLOOKUP($T17,AL[[AL]:[L]],2,FALSE)-VLOOKUP(AG$2,AL[[AL]:[L]],3,FALSE))&lt;=(VLOOKUP($T17,AL[[AL]:[GR]],6,FALSE)+VLOOKUP(AG$2,AL[[AL]:[GR]],6,FALSE))+1,163-VLOOKUP($T17,AL[[AL]:[L]],2,FALSE)-VLOOKUP(AG$2,AL[[AL]:[L]],3,FALSE),"X")</f>
        <v>132</v>
      </c>
      <c r="AH17" s="12">
        <f>IF((163-VLOOKUP($T17,AL[[AL]:[L]],2,FALSE)-VLOOKUP(AH$2,AL[[AL]:[L]],3,FALSE))&lt;=(VLOOKUP($T17,AL[[AL]:[GR]],6,FALSE)+VLOOKUP(AH$2,AL[[AL]:[GR]],6,FALSE))+1,163-VLOOKUP($T17,AL[[AL]:[L]],2,FALSE)-VLOOKUP(AH$2,AL[[AL]:[L]],3,FALSE),"X")</f>
        <v>132</v>
      </c>
      <c r="AI17" s="13"/>
      <c r="AJ17" s="1" t="str">
        <f>IF(OR(Z17&lt;&gt;"X",163-_xlfn.MAXIFS(AL[W],AL[Division],VLOOKUP(T17,AL[],8,FALSE))-VLOOKUP(T17,AL[],3,FALSE)&gt;0),"","X")</f>
        <v/>
      </c>
      <c r="AK17" t="str">
        <f t="shared" si="0"/>
        <v/>
      </c>
    </row>
    <row r="18" spans="2:37" ht="15" thickBot="1" x14ac:dyDescent="0.4">
      <c r="O18" s="18" t="s">
        <v>9</v>
      </c>
      <c r="P18">
        <f>(SUM(AL[GR])+SUM(NL[GR]))/2</f>
        <v>1887</v>
      </c>
      <c r="Q18" s="20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2:37" ht="15" thickBot="1" x14ac:dyDescent="0.4">
      <c r="B19" s="14" t="s">
        <v>39</v>
      </c>
      <c r="C19" t="s">
        <v>5</v>
      </c>
      <c r="D19" t="s">
        <v>6</v>
      </c>
      <c r="E19" t="s">
        <v>7</v>
      </c>
      <c r="F19" t="s">
        <v>8</v>
      </c>
      <c r="G19" t="s">
        <v>9</v>
      </c>
      <c r="H19" t="s">
        <v>40</v>
      </c>
      <c r="I19" t="s">
        <v>41</v>
      </c>
      <c r="J19" t="s">
        <v>48</v>
      </c>
      <c r="K19" t="s">
        <v>89</v>
      </c>
      <c r="L19" t="s">
        <v>138</v>
      </c>
      <c r="M19" t="s">
        <v>91</v>
      </c>
      <c r="O19" s="21" t="s">
        <v>77</v>
      </c>
      <c r="P19" s="27">
        <f>SUM(Table_0[[W]:[L]])/2</f>
        <v>543</v>
      </c>
      <c r="Q19" s="23"/>
      <c r="S19" s="1"/>
      <c r="T19" s="7" t="s">
        <v>39</v>
      </c>
      <c r="U19" s="2" t="str">
        <f>T20</f>
        <v>PHI</v>
      </c>
      <c r="V19" s="3" t="str">
        <f>T21</f>
        <v>LAD</v>
      </c>
      <c r="W19" s="4" t="str">
        <f>T22</f>
        <v>MIL</v>
      </c>
      <c r="X19" s="2" t="str">
        <f>T23</f>
        <v>ATL</v>
      </c>
      <c r="Y19" s="3" t="str">
        <f>T24</f>
        <v>CHC</v>
      </c>
      <c r="Z19" s="4" t="str">
        <f>T25</f>
        <v>WSH</v>
      </c>
      <c r="AA19" s="3" t="str">
        <f>T26</f>
        <v>NYM</v>
      </c>
      <c r="AB19" s="3" t="str">
        <f>T27</f>
        <v>SDP</v>
      </c>
      <c r="AC19" s="3" t="str">
        <f>T28</f>
        <v>PIT</v>
      </c>
      <c r="AD19" s="3" t="str">
        <f>T29</f>
        <v>CIN</v>
      </c>
      <c r="AE19" s="3" t="str">
        <f>T30</f>
        <v>ARI</v>
      </c>
      <c r="AF19" s="3" t="str">
        <f>T31</f>
        <v>SFG</v>
      </c>
      <c r="AG19" s="3" t="str">
        <f>T32</f>
        <v>STL</v>
      </c>
      <c r="AH19" s="3" t="str">
        <f>T33</f>
        <v>MIA</v>
      </c>
      <c r="AI19" s="4" t="str">
        <f>T34</f>
        <v>COL</v>
      </c>
    </row>
    <row r="20" spans="2:37" x14ac:dyDescent="0.35">
      <c r="B20" t="s">
        <v>24</v>
      </c>
      <c r="C20">
        <f>VLOOKUP(NL[[#This Row],[NL]],simOutput[],2,0)</f>
        <v>26</v>
      </c>
      <c r="D20">
        <f>VLOOKUP(NL[[#This Row],[NL]],simOutput[],3,0)</f>
        <v>11</v>
      </c>
      <c r="E20" s="8">
        <f>(NL[[#This Row],[W]]/NL[[#This Row],[GP]])-NL[[#This Row],[Tiebreak]]/100000</f>
        <v>0.70253270270270274</v>
      </c>
      <c r="F20">
        <f>NL[[#This Row],[W]]+NL[[#This Row],[L]]</f>
        <v>37</v>
      </c>
      <c r="G20">
        <f>162-NL[[#This Row],[GP]]</f>
        <v>125</v>
      </c>
      <c r="H20" t="str">
        <f>IF(NL[[#This Row],[%]]=_xlfn.MAXIFS(NL[%],NL[Division],NL[[#This Row],[Division]]),"Div. Lead",RANK(NL[[#This Row],[%]],NL[%]))</f>
        <v>Div. Lead</v>
      </c>
      <c r="I20" t="s">
        <v>45</v>
      </c>
      <c r="J20">
        <f>VLOOKUP(NL[[#This Row],[NL]],Table_0[],18,0)</f>
        <v>17</v>
      </c>
      <c r="K20" s="25">
        <f>VLOOKUP(NL[[#This Row],[NL]],simOutput[],5,0)</f>
        <v>54</v>
      </c>
      <c r="L20" s="25">
        <f>VLOOKUP(NL[[#This Row],[NL]],Table_0[],12,0)</f>
        <v>54</v>
      </c>
      <c r="M20" s="24">
        <f>VLOOKUP(NL[[#This Row],[NL]],simOutput[],4,0)</f>
        <v>0.90554800000082292</v>
      </c>
      <c r="N20" s="28" t="str">
        <f>IF((NL[[#This Row],[Rdiff-Sim]]-NL[[#This Row],[Rdiff-MLB]])=0,"","ERROR")</f>
        <v/>
      </c>
      <c r="O20" s="33" t="str">
        <f>IF(P17=P19,"Up to date","Update required")</f>
        <v>Up to date</v>
      </c>
      <c r="P20" s="34"/>
      <c r="Q20" s="35"/>
      <c r="S20" s="10">
        <v>1</v>
      </c>
      <c r="T20" s="2" t="str">
        <f>VLOOKUP(LARGE(P26:P28,1),P26:Q28,2,FALSE)</f>
        <v>PHI</v>
      </c>
      <c r="U20" s="2"/>
      <c r="V20" s="3">
        <f>IF(163-VLOOKUP($T20,NL[[NL]:[L]],2,FALSE)-VLOOKUP(V$19,NL[[NL]:[L]],3,FALSE)&gt;0,163-VLOOKUP($T20,NL[[NL]:[L]],2,FALSE)-VLOOKUP(V$19,NL[[NL]:[L]],3,FALSE),"W")</f>
        <v>124</v>
      </c>
      <c r="W20" s="4">
        <f>IF(163-VLOOKUP($T20,NL[[NL]:[L]],2,FALSE)-VLOOKUP(W$19,NL[[NL]:[L]],3,FALSE)&gt;0,163-VLOOKUP($T20,NL[[NL]:[L]],2,FALSE)-VLOOKUP(W$19,NL[[NL]:[L]],3,FALSE),"W")</f>
        <v>123</v>
      </c>
      <c r="X20" s="2">
        <f>IF(163-VLOOKUP($T20,NL[[NL]:[L]],2,FALSE)-VLOOKUP(X$19,NL[[NL]:[L]],3,FALSE)&gt;0,163-VLOOKUP($T20,NL[[NL]:[L]],2,FALSE)-VLOOKUP(X$19,NL[[NL]:[L]],3,FALSE),"W")</f>
        <v>125</v>
      </c>
      <c r="Y20" s="3">
        <f>IF(163-VLOOKUP($T20,NL[[NL]:[L]],2,FALSE)-VLOOKUP(Y$19,NL[[NL]:[L]],3,FALSE)&gt;0,163-VLOOKUP($T20,NL[[NL]:[L]],2,FALSE)-VLOOKUP(Y$19,NL[[NL]:[L]],3,FALSE),"W")</f>
        <v>122</v>
      </c>
      <c r="Z20" s="4">
        <f>IF(163-VLOOKUP($T20,NL[[NL]:[L]],2,FALSE)-VLOOKUP(Z$19,NL[[NL]:[L]],3,FALSE)&gt;0,163-VLOOKUP($T20,NL[[NL]:[L]],2,FALSE)-VLOOKUP(Z$19,NL[[NL]:[L]],3,FALSE),"W")</f>
        <v>120</v>
      </c>
      <c r="AA20" s="3">
        <f>IF(163-VLOOKUP($T20,NL[[NL]:[L]],2,FALSE)-VLOOKUP(AA$19,NL[[NL]:[L]],3,FALSE)&gt;0,163-VLOOKUP($T20,NL[[NL]:[L]],2,FALSE)-VLOOKUP(AA$19,NL[[NL]:[L]],3,FALSE),"W")</f>
        <v>119</v>
      </c>
      <c r="AB20" s="3">
        <f>IF(163-VLOOKUP($T20,NL[[NL]:[L]],2,FALSE)-VLOOKUP(AB$19,NL[[NL]:[L]],3,FALSE)&gt;0,163-VLOOKUP($T20,NL[[NL]:[L]],2,FALSE)-VLOOKUP(AB$19,NL[[NL]:[L]],3,FALSE),"W")</f>
        <v>117</v>
      </c>
      <c r="AC20" s="3">
        <f>IF(163-VLOOKUP($T20,NL[[NL]:[L]],2,FALSE)-VLOOKUP(AC$19,NL[[NL]:[L]],3,FALSE)&gt;0,163-VLOOKUP($T20,NL[[NL]:[L]],2,FALSE)-VLOOKUP(AC$19,NL[[NL]:[L]],3,FALSE),"W")</f>
        <v>117</v>
      </c>
      <c r="AD20" s="3">
        <f>IF(163-VLOOKUP($T20,NL[[NL]:[L]],2,FALSE)-VLOOKUP(AD$19,NL[[NL]:[L]],3,FALSE)&gt;0,163-VLOOKUP($T20,NL[[NL]:[L]],2,FALSE)-VLOOKUP(AD$19,NL[[NL]:[L]],3,FALSE),"W")</f>
        <v>118</v>
      </c>
      <c r="AE20" s="3">
        <f>IF(163-VLOOKUP($T20,NL[[NL]:[L]],2,FALSE)-VLOOKUP(AE$19,NL[[NL]:[L]],3,FALSE)&gt;0,163-VLOOKUP($T20,NL[[NL]:[L]],2,FALSE)-VLOOKUP(AE$19,NL[[NL]:[L]],3,FALSE),"W")</f>
        <v>117</v>
      </c>
      <c r="AF20" s="3">
        <f>IF(163-VLOOKUP($T20,NL[[NL]:[L]],2,FALSE)-VLOOKUP(AF$19,NL[[NL]:[L]],3,FALSE)&gt;0,163-VLOOKUP($T20,NL[[NL]:[L]],2,FALSE)-VLOOKUP(AF$19,NL[[NL]:[L]],3,FALSE),"W")</f>
        <v>116</v>
      </c>
      <c r="AG20" s="3">
        <f>IF(163-VLOOKUP($T20,NL[[NL]:[L]],2,FALSE)-VLOOKUP(AG$19,NL[[NL]:[L]],3,FALSE)&gt;0,163-VLOOKUP($T20,NL[[NL]:[L]],2,FALSE)-VLOOKUP(AG$19,NL[[NL]:[L]],3,FALSE),"W")</f>
        <v>116</v>
      </c>
      <c r="AH20" s="3">
        <f>IF(163-VLOOKUP($T20,NL[[NL]:[L]],2,FALSE)-VLOOKUP(AH$19,NL[[NL]:[L]],3,FALSE)&gt;0,163-VLOOKUP($T20,NL[[NL]:[L]],2,FALSE)-VLOOKUP(AH$19,NL[[NL]:[L]],3,FALSE),"W")</f>
        <v>109</v>
      </c>
      <c r="AI20" s="4">
        <f>IF(163-VLOOKUP($T20,NL[[NL]:[L]],2,FALSE)-VLOOKUP(AI$19,NL[[NL]:[L]],3,FALSE)&gt;0,163-VLOOKUP($T20,NL[[NL]:[L]],2,FALSE)-VLOOKUP(AI$19,NL[[NL]:[L]],3,FALSE),"W")</f>
        <v>110</v>
      </c>
      <c r="AJ20" s="1" t="str" cm="1">
        <f t="array" ref="AJ20">_xlfn.IFS(163-VLOOKUP(INDEX(NL[NL],MATCH(_xlfn.MINIFS(NL[WC Rank],NL[Division],VLOOKUP(T20,NL[],8,FALSE)),NL[WC Rank],0)),NL[],3,FALSE)-VLOOKUP(T20,NL[],2,FALSE)&lt;=0,IF(W20="W","BYE","D"),AA20="W","WC",TRUE,"")</f>
        <v/>
      </c>
      <c r="AK20" t="str">
        <f t="shared" ref="AK20:AK34" si="1">IF(COUNTIF(U20:AI20,"X")+COUNTIF(U20:AI20,"W")=14,"LOCK","")</f>
        <v/>
      </c>
    </row>
    <row r="21" spans="2:37" x14ac:dyDescent="0.35">
      <c r="B21" t="s">
        <v>27</v>
      </c>
      <c r="C21">
        <f>VLOOKUP(NL[[#This Row],[NL]],simOutput[],2,0)</f>
        <v>25</v>
      </c>
      <c r="D21">
        <f>VLOOKUP(NL[[#This Row],[NL]],simOutput[],3,0)</f>
        <v>13</v>
      </c>
      <c r="E21" s="8">
        <f>(NL[[#This Row],[W]]/NL[[#This Row],[GP]])-NL[[#This Row],[Tiebreak]]/100000</f>
        <v>0.65771473684210535</v>
      </c>
      <c r="F21">
        <f>NL[[#This Row],[W]]+NL[[#This Row],[L]]</f>
        <v>38</v>
      </c>
      <c r="G21">
        <f>162-NL[[#This Row],[GP]]</f>
        <v>124</v>
      </c>
      <c r="H21" t="str">
        <f>IF(NL[[#This Row],[%]]=_xlfn.MAXIFS(NL[%],NL[Division],NL[[#This Row],[Division]]),"Div. Lead",RANK(NL[[#This Row],[%]],NL[%]))</f>
        <v>Div. Lead</v>
      </c>
      <c r="I21" t="s">
        <v>47</v>
      </c>
      <c r="J21">
        <f>VLOOKUP(NL[[#This Row],[NL]],Table_0[],18,0)</f>
        <v>18</v>
      </c>
      <c r="K21" s="25">
        <f>VLOOKUP(NL[[#This Row],[NL]],simOutput[],5,0)</f>
        <v>72</v>
      </c>
      <c r="L21" s="25">
        <f>VLOOKUP(NL[[#This Row],[NL]],Table_0[],12,0)</f>
        <v>72</v>
      </c>
      <c r="M21" s="24">
        <f>VLOOKUP(NL[[#This Row],[NL]],simOutput[],4,0)</f>
        <v>0.90044000000081781</v>
      </c>
      <c r="N21" s="28" t="str">
        <f>IF((NL[[#This Row],[Rdiff-Sim]]-NL[[#This Row],[Rdiff-MLB]])=0,"","ERROR")</f>
        <v/>
      </c>
      <c r="S21" s="10">
        <v>2</v>
      </c>
      <c r="T21" s="5" t="str">
        <f>VLOOKUP(LARGE(P26:P28,2),P26:Q28,2,FALSE)</f>
        <v>LAD</v>
      </c>
      <c r="U21" s="5">
        <f>IF((163-VLOOKUP($T21,NL[[NL]:[L]],2,FALSE)-VLOOKUP(U$19,NL[[NL]:[L]],3,FALSE))&lt;=(VLOOKUP($T21,NL[[NL]:[GR]],6,FALSE)+VLOOKUP(U$19,NL[[NL]:[GR]],6,FALSE))+1,163-VLOOKUP($T21,NL[[NL]:[L]],2,FALSE)-VLOOKUP(U$19,NL[[NL]:[L]],3,FALSE),"X")</f>
        <v>127</v>
      </c>
      <c r="V21" s="1"/>
      <c r="W21" s="11">
        <f>IF(163-VLOOKUP($T21,NL[[NL]:[L]],2,FALSE)-VLOOKUP(W$19,NL[[NL]:[L]],3,FALSE)&gt;0,163-VLOOKUP($T21,NL[[NL]:[L]],2,FALSE)-VLOOKUP(W$19,NL[[NL]:[L]],3,FALSE),"W")</f>
        <v>124</v>
      </c>
      <c r="X21" s="5">
        <f>IF(163-VLOOKUP($T21,NL[[NL]:[L]],2,FALSE)-VLOOKUP(X$19,NL[[NL]:[L]],3,FALSE)&gt;0,163-VLOOKUP($T21,NL[[NL]:[L]],2,FALSE)-VLOOKUP(X$19,NL[[NL]:[L]],3,FALSE),"W")</f>
        <v>126</v>
      </c>
      <c r="Y21" s="1">
        <f>IF(163-VLOOKUP($T21,NL[[NL]:[L]],2,FALSE)-VLOOKUP(Y$19,NL[[NL]:[L]],3,FALSE)&gt;0,163-VLOOKUP($T21,NL[[NL]:[L]],2,FALSE)-VLOOKUP(Y$19,NL[[NL]:[L]],3,FALSE),"W")</f>
        <v>123</v>
      </c>
      <c r="Z21" s="11">
        <f>IF(163-VLOOKUP($T21,NL[[NL]:[L]],2,FALSE)-VLOOKUP(Z$19,NL[[NL]:[L]],3,FALSE)&gt;0,163-VLOOKUP($T21,NL[[NL]:[L]],2,FALSE)-VLOOKUP(Z$19,NL[[NL]:[L]],3,FALSE),"W")</f>
        <v>121</v>
      </c>
      <c r="AA21" s="1">
        <f>IF(163-VLOOKUP($T21,NL[[NL]:[L]],2,FALSE)-VLOOKUP(AA$19,NL[[NL]:[L]],3,FALSE)&gt;0,163-VLOOKUP($T21,NL[[NL]:[L]],2,FALSE)-VLOOKUP(AA$19,NL[[NL]:[L]],3,FALSE),"W")</f>
        <v>120</v>
      </c>
      <c r="AB21" s="1">
        <f>IF(163-VLOOKUP($T21,NL[[NL]:[L]],2,FALSE)-VLOOKUP(AB$19,NL[[NL]:[L]],3,FALSE)&gt;0,163-VLOOKUP($T21,NL[[NL]:[L]],2,FALSE)-VLOOKUP(AB$19,NL[[NL]:[L]],3,FALSE),"W")</f>
        <v>118</v>
      </c>
      <c r="AC21" s="1">
        <f>IF(163-VLOOKUP($T21,NL[[NL]:[L]],2,FALSE)-VLOOKUP(AC$19,NL[[NL]:[L]],3,FALSE)&gt;0,163-VLOOKUP($T21,NL[[NL]:[L]],2,FALSE)-VLOOKUP(AC$19,NL[[NL]:[L]],3,FALSE),"W")</f>
        <v>118</v>
      </c>
      <c r="AD21" s="1">
        <f>IF(163-VLOOKUP($T21,NL[[NL]:[L]],2,FALSE)-VLOOKUP(AD$19,NL[[NL]:[L]],3,FALSE)&gt;0,163-VLOOKUP($T21,NL[[NL]:[L]],2,FALSE)-VLOOKUP(AD$19,NL[[NL]:[L]],3,FALSE),"W")</f>
        <v>119</v>
      </c>
      <c r="AE21" s="1">
        <f>IF(163-VLOOKUP($T21,NL[[NL]:[L]],2,FALSE)-VLOOKUP(AE$19,NL[[NL]:[L]],3,FALSE)&gt;0,163-VLOOKUP($T21,NL[[NL]:[L]],2,FALSE)-VLOOKUP(AE$19,NL[[NL]:[L]],3,FALSE),"W")</f>
        <v>118</v>
      </c>
      <c r="AF21" s="1">
        <f>IF(163-VLOOKUP($T21,NL[[NL]:[L]],2,FALSE)-VLOOKUP(AF$19,NL[[NL]:[L]],3,FALSE)&gt;0,163-VLOOKUP($T21,NL[[NL]:[L]],2,FALSE)-VLOOKUP(AF$19,NL[[NL]:[L]],3,FALSE),"W")</f>
        <v>117</v>
      </c>
      <c r="AG21" s="1">
        <f>IF(163-VLOOKUP($T21,NL[[NL]:[L]],2,FALSE)-VLOOKUP(AG$19,NL[[NL]:[L]],3,FALSE)&gt;0,163-VLOOKUP($T21,NL[[NL]:[L]],2,FALSE)-VLOOKUP(AG$19,NL[[NL]:[L]],3,FALSE),"W")</f>
        <v>117</v>
      </c>
      <c r="AH21" s="1">
        <f>IF(163-VLOOKUP($T21,NL[[NL]:[L]],2,FALSE)-VLOOKUP(AH$19,NL[[NL]:[L]],3,FALSE)&gt;0,163-VLOOKUP($T21,NL[[NL]:[L]],2,FALSE)-VLOOKUP(AH$19,NL[[NL]:[L]],3,FALSE),"W")</f>
        <v>110</v>
      </c>
      <c r="AI21" s="11">
        <f>IF(163-VLOOKUP($T21,NL[[NL]:[L]],2,FALSE)-VLOOKUP(AI$19,NL[[NL]:[L]],3,FALSE)&gt;0,163-VLOOKUP($T21,NL[[NL]:[L]],2,FALSE)-VLOOKUP(AI$19,NL[[NL]:[L]],3,FALSE),"W")</f>
        <v>111</v>
      </c>
      <c r="AJ21" s="1" t="str" cm="1">
        <f t="array" ref="AJ21">_xlfn.IFS(163-VLOOKUP(INDEX(NL[NL],MATCH(_xlfn.MINIFS(NL[WC Rank],NL[Division],VLOOKUP(T21,NL[],8,FALSE)),NL[WC Rank],0)),NL[],3,FALSE)-VLOOKUP(T21,NL[],2,FALSE)&lt;=0,IF(W21="W","BYE","D"),AA21="W","WC",TRUE,"")</f>
        <v/>
      </c>
      <c r="AK21" t="str">
        <f t="shared" si="1"/>
        <v/>
      </c>
    </row>
    <row r="22" spans="2:37" ht="15" thickBot="1" x14ac:dyDescent="0.4">
      <c r="B22" t="s">
        <v>23</v>
      </c>
      <c r="C22">
        <f>VLOOKUP(NL[[#This Row],[NL]],simOutput[],2,0)</f>
        <v>21</v>
      </c>
      <c r="D22">
        <f>VLOOKUP(NL[[#This Row],[NL]],simOutput[],3,0)</f>
        <v>12</v>
      </c>
      <c r="E22" s="8">
        <f>(NL[[#This Row],[W]]/NL[[#This Row],[GP]])-NL[[#This Row],[Tiebreak]]/100000</f>
        <v>0.63617363636363633</v>
      </c>
      <c r="F22">
        <f>NL[[#This Row],[W]]+NL[[#This Row],[L]]</f>
        <v>33</v>
      </c>
      <c r="G22">
        <f>162-NL[[#This Row],[GP]]</f>
        <v>129</v>
      </c>
      <c r="H22">
        <f>IF(NL[[#This Row],[%]]=_xlfn.MAXIFS(NL[%],NL[Division],NL[[#This Row],[Division]]),"Div. Lead",RANK(NL[[#This Row],[%]],NL[%]))</f>
        <v>3</v>
      </c>
      <c r="I22" t="s">
        <v>45</v>
      </c>
      <c r="J22">
        <f>VLOOKUP(NL[[#This Row],[NL]],Table_0[],18,0)</f>
        <v>19</v>
      </c>
      <c r="K22" s="25">
        <f>VLOOKUP(NL[[#This Row],[NL]],simOutput[],5,0)</f>
        <v>36</v>
      </c>
      <c r="L22" s="25">
        <f>VLOOKUP(NL[[#This Row],[NL]],Table_0[],12,0)</f>
        <v>36</v>
      </c>
      <c r="M22" s="24">
        <f>VLOOKUP(NL[[#This Row],[NL]],simOutput[],4,0)</f>
        <v>0.75470000000067206</v>
      </c>
      <c r="N22" s="28" t="str">
        <f>IF((NL[[#This Row],[Rdiff-Sim]]-NL[[#This Row],[Rdiff-MLB]])=0,"","ERROR")</f>
        <v/>
      </c>
      <c r="S22" s="10">
        <v>3</v>
      </c>
      <c r="T22" s="6" t="str">
        <f>VLOOKUP(LARGE(P26:P28,3),P26:Q28,2,FALSE)</f>
        <v>MIL</v>
      </c>
      <c r="U22" s="6">
        <f>IF((163-VLOOKUP($T22,NL[[NL]:[L]],2,FALSE)-VLOOKUP(U$19,NL[[NL]:[L]],3,FALSE))&lt;=(VLOOKUP($T22,NL[[NL]:[GR]],6,FALSE)+VLOOKUP(U$19,NL[[NL]:[GR]],6,FALSE))+1,163-VLOOKUP($T22,NL[[NL]:[L]],2,FALSE)-VLOOKUP(U$19,NL[[NL]:[L]],3,FALSE),"X")</f>
        <v>131</v>
      </c>
      <c r="V22" s="12">
        <f>IF((163-VLOOKUP($T22,NL[[NL]:[L]],2,FALSE)-VLOOKUP(V$19,NL[[NL]:[L]],3,FALSE))&lt;=(VLOOKUP($T22,NL[[NL]:[GR]],6,FALSE)+VLOOKUP(V$19,NL[[NL]:[GR]],6,FALSE))+1,163-VLOOKUP($T22,NL[[NL]:[L]],2,FALSE)-VLOOKUP(V$19,NL[[NL]:[L]],3,FALSE),"X")</f>
        <v>129</v>
      </c>
      <c r="W22" s="13"/>
      <c r="X22" s="6">
        <f>IF(163-VLOOKUP($T22,NL[[NL]:[L]],2,FALSE)-VLOOKUP(X$19,NL[[NL]:[L]],3,FALSE)&gt;0,163-VLOOKUP($T22,NL[[NL]:[L]],2,FALSE)-VLOOKUP(X$19,NL[[NL]:[L]],3,FALSE),"W")</f>
        <v>130</v>
      </c>
      <c r="Y22" s="12">
        <f>IF(163-VLOOKUP($T22,NL[[NL]:[L]],2,FALSE)-VLOOKUP(Y$19,NL[[NL]:[L]],3,FALSE)&gt;0,163-VLOOKUP($T22,NL[[NL]:[L]],2,FALSE)-VLOOKUP(Y$19,NL[[NL]:[L]],3,FALSE),"W")</f>
        <v>127</v>
      </c>
      <c r="Z22" s="13">
        <f>IF(163-VLOOKUP($T22,NL[[NL]:[L]],2,FALSE)-VLOOKUP(Z$19,NL[[NL]:[L]],3,FALSE)&gt;0,163-VLOOKUP($T22,NL[[NL]:[L]],2,FALSE)-VLOOKUP(Z$19,NL[[NL]:[L]],3,FALSE),"W")</f>
        <v>125</v>
      </c>
      <c r="AA22" s="12">
        <f>IF(163-VLOOKUP($T22,NL[[NL]:[L]],2,FALSE)-VLOOKUP(AA$19,NL[[NL]:[L]],3,FALSE)&gt;0,163-VLOOKUP($T22,NL[[NL]:[L]],2,FALSE)-VLOOKUP(AA$19,NL[[NL]:[L]],3,FALSE),"W")</f>
        <v>124</v>
      </c>
      <c r="AB22" s="12">
        <f>IF(163-VLOOKUP($T22,NL[[NL]:[L]],2,FALSE)-VLOOKUP(AB$19,NL[[NL]:[L]],3,FALSE)&gt;0,163-VLOOKUP($T22,NL[[NL]:[L]],2,FALSE)-VLOOKUP(AB$19,NL[[NL]:[L]],3,FALSE),"W")</f>
        <v>122</v>
      </c>
      <c r="AC22" s="12">
        <f>IF(163-VLOOKUP($T22,NL[[NL]:[L]],2,FALSE)-VLOOKUP(AC$19,NL[[NL]:[L]],3,FALSE)&gt;0,163-VLOOKUP($T22,NL[[NL]:[L]],2,FALSE)-VLOOKUP(AC$19,NL[[NL]:[L]],3,FALSE),"W")</f>
        <v>122</v>
      </c>
      <c r="AD22" s="12">
        <f>IF(163-VLOOKUP($T22,NL[[NL]:[L]],2,FALSE)-VLOOKUP(AD$19,NL[[NL]:[L]],3,FALSE)&gt;0,163-VLOOKUP($T22,NL[[NL]:[L]],2,FALSE)-VLOOKUP(AD$19,NL[[NL]:[L]],3,FALSE),"W")</f>
        <v>123</v>
      </c>
      <c r="AE22" s="12">
        <f>IF(163-VLOOKUP($T22,NL[[NL]:[L]],2,FALSE)-VLOOKUP(AE$19,NL[[NL]:[L]],3,FALSE)&gt;0,163-VLOOKUP($T22,NL[[NL]:[L]],2,FALSE)-VLOOKUP(AE$19,NL[[NL]:[L]],3,FALSE),"W")</f>
        <v>122</v>
      </c>
      <c r="AF22" s="12">
        <f>IF(163-VLOOKUP($T22,NL[[NL]:[L]],2,FALSE)-VLOOKUP(AF$19,NL[[NL]:[L]],3,FALSE)&gt;0,163-VLOOKUP($T22,NL[[NL]:[L]],2,FALSE)-VLOOKUP(AF$19,NL[[NL]:[L]],3,FALSE),"W")</f>
        <v>121</v>
      </c>
      <c r="AG22" s="12">
        <f>IF(163-VLOOKUP($T22,NL[[NL]:[L]],2,FALSE)-VLOOKUP(AG$19,NL[[NL]:[L]],3,FALSE)&gt;0,163-VLOOKUP($T22,NL[[NL]:[L]],2,FALSE)-VLOOKUP(AG$19,NL[[NL]:[L]],3,FALSE),"W")</f>
        <v>121</v>
      </c>
      <c r="AH22" s="12">
        <f>IF(163-VLOOKUP($T22,NL[[NL]:[L]],2,FALSE)-VLOOKUP(AH$19,NL[[NL]:[L]],3,FALSE)&gt;0,163-VLOOKUP($T22,NL[[NL]:[L]],2,FALSE)-VLOOKUP(AH$19,NL[[NL]:[L]],3,FALSE),"W")</f>
        <v>114</v>
      </c>
      <c r="AI22" s="13">
        <f>IF(163-VLOOKUP($T22,NL[[NL]:[L]],2,FALSE)-VLOOKUP(AI$19,NL[[NL]:[L]],3,FALSE)&gt;0,163-VLOOKUP($T22,NL[[NL]:[L]],2,FALSE)-VLOOKUP(AI$19,NL[[NL]:[L]],3,FALSE),"W")</f>
        <v>115</v>
      </c>
      <c r="AJ22" s="1" t="str" cm="1">
        <f t="array" ref="AJ22">_xlfn.IFS(163-VLOOKUP(INDEX(NL[NL],MATCH(_xlfn.MINIFS(NL[WC Rank],NL[Division],VLOOKUP(T22,NL[],8,FALSE)),NL[WC Rank],0)),NL[],3,FALSE)-VLOOKUP(T22,NL[],2,FALSE)&lt;=0,"D",AA22="W","WC",TRUE,"")</f>
        <v/>
      </c>
      <c r="AK22" t="str">
        <f t="shared" si="1"/>
        <v/>
      </c>
    </row>
    <row r="23" spans="2:37" x14ac:dyDescent="0.35">
      <c r="B23" t="s">
        <v>30</v>
      </c>
      <c r="C23">
        <f>VLOOKUP(NL[[#This Row],[NL]],simOutput[],2,0)</f>
        <v>21</v>
      </c>
      <c r="D23">
        <f>VLOOKUP(NL[[#This Row],[NL]],simOutput[],3,0)</f>
        <v>14</v>
      </c>
      <c r="E23" s="8">
        <f>(NL[[#This Row],[W]]/NL[[#This Row],[GP]])-NL[[#This Row],[Tiebreak]]/100000</f>
        <v>0.5998</v>
      </c>
      <c r="F23">
        <f>NL[[#This Row],[W]]+NL[[#This Row],[L]]</f>
        <v>35</v>
      </c>
      <c r="G23">
        <f>162-NL[[#This Row],[GP]]</f>
        <v>127</v>
      </c>
      <c r="H23" t="str">
        <f>IF(NL[[#This Row],[%]]=_xlfn.MAXIFS(NL[%],NL[Division],NL[[#This Row],[Division]]),"Div. Lead",RANK(NL[[#This Row],[%]],NL[%]))</f>
        <v>Div. Lead</v>
      </c>
      <c r="I23" t="s">
        <v>46</v>
      </c>
      <c r="J23">
        <f>VLOOKUP(NL[[#This Row],[NL]],Table_0[],18,0)</f>
        <v>20</v>
      </c>
      <c r="K23" s="25">
        <f>VLOOKUP(NL[[#This Row],[NL]],simOutput[],5,0)</f>
        <v>21</v>
      </c>
      <c r="L23" s="25">
        <f>VLOOKUP(NL[[#This Row],[NL]],Table_0[],12,0)</f>
        <v>21</v>
      </c>
      <c r="M23" s="24">
        <f>VLOOKUP(NL[[#This Row],[NL]],simOutput[],4,0)</f>
        <v>0.67787200000059522</v>
      </c>
      <c r="N23" s="28" t="str">
        <f>IF((NL[[#This Row],[Rdiff-Sim]]-NL[[#This Row],[Rdiff-MLB]])=0,"","ERROR")</f>
        <v/>
      </c>
      <c r="S23" s="10">
        <v>4</v>
      </c>
      <c r="T23" s="2" t="str" cm="1">
        <f t="array" ref="T23">INDEX(NL[NL],MATCH(SMALL(NL[WC Rank],S23-3),NL[WC Rank],0),0)</f>
        <v>ATL</v>
      </c>
      <c r="U23" s="2">
        <f>IF((163-VLOOKUP($T23,NL[[NL]:[L]],2,FALSE)-VLOOKUP(U$19,NL[[NL]:[L]],3,FALSE))&lt;=(VLOOKUP($T23,NL[[NL]:[GR]],6,FALSE)+VLOOKUP(U$19,NL[[NL]:[GR]],6,FALSE))+1,163-VLOOKUP($T23,NL[[NL]:[L]],2,FALSE)-VLOOKUP(U$19,NL[[NL]:[L]],3,FALSE),"X")</f>
        <v>131</v>
      </c>
      <c r="V23" s="3">
        <f>IF((163-VLOOKUP($T23,NL[[NL]:[L]],2,FALSE)-VLOOKUP(V$19,NL[[NL]:[L]],3,FALSE))&lt;=(VLOOKUP($T23,NL[[NL]:[GR]],6,FALSE)+VLOOKUP(V$19,NL[[NL]:[GR]],6,FALSE))+1,163-VLOOKUP($T23,NL[[NL]:[L]],2,FALSE)-VLOOKUP(V$19,NL[[NL]:[L]],3,FALSE),"X")</f>
        <v>129</v>
      </c>
      <c r="W23" s="4">
        <f>IF((163-VLOOKUP($T23,NL[[NL]:[L]],2,FALSE)-VLOOKUP(W$19,NL[[NL]:[L]],3,FALSE))&lt;=(VLOOKUP($T23,NL[[NL]:[GR]],6,FALSE)+VLOOKUP(W$19,NL[[NL]:[GR]],6,FALSE))+1,163-VLOOKUP($T23,NL[[NL]:[L]],2,FALSE)-VLOOKUP(W$19,NL[[NL]:[L]],3,FALSE),"X")</f>
        <v>128</v>
      </c>
      <c r="X23" s="2"/>
      <c r="Y23" s="3">
        <f>IF(163-VLOOKUP($T23,NL[[NL]:[L]],2,FALSE)-VLOOKUP(Y$19,NL[[NL]:[L]],3,FALSE)&gt;0,163-VLOOKUP($T23,NL[[NL]:[L]],2,FALSE)-VLOOKUP(Y$19,NL[[NL]:[L]],3,FALSE),"W")</f>
        <v>127</v>
      </c>
      <c r="Z23" s="4">
        <f>IF(163-VLOOKUP($T23,NL[[NL]:[L]],2,FALSE)-VLOOKUP(Z$19,NL[[NL]:[L]],3,FALSE)&gt;0,163-VLOOKUP($T23,NL[[NL]:[L]],2,FALSE)-VLOOKUP(Z$19,NL[[NL]:[L]],3,FALSE),"W")</f>
        <v>125</v>
      </c>
      <c r="AA23" s="3">
        <f>IF(163-VLOOKUP($T23,NL[[NL]:[L]],2,FALSE)-VLOOKUP(AA$19,NL[[NL]:[L]],3,FALSE)&gt;0,163-VLOOKUP($T23,NL[[NL]:[L]],2,FALSE)-VLOOKUP(AA$19,NL[[NL]:[L]],3,FALSE),"W")</f>
        <v>124</v>
      </c>
      <c r="AB23" s="3">
        <f>IF(163-VLOOKUP($T23,NL[[NL]:[L]],2,FALSE)-VLOOKUP(AB$19,NL[[NL]:[L]],3,FALSE)&gt;0,163-VLOOKUP($T23,NL[[NL]:[L]],2,FALSE)-VLOOKUP(AB$19,NL[[NL]:[L]],3,FALSE),"W")</f>
        <v>122</v>
      </c>
      <c r="AC23" s="3">
        <f>IF(163-VLOOKUP($T23,NL[[NL]:[L]],2,FALSE)-VLOOKUP(AC$19,NL[[NL]:[L]],3,FALSE)&gt;0,163-VLOOKUP($T23,NL[[NL]:[L]],2,FALSE)-VLOOKUP(AC$19,NL[[NL]:[L]],3,FALSE),"W")</f>
        <v>122</v>
      </c>
      <c r="AD23" s="3">
        <f>IF(163-VLOOKUP($T23,NL[[NL]:[L]],2,FALSE)-VLOOKUP(AD$19,NL[[NL]:[L]],3,FALSE)&gt;0,163-VLOOKUP($T23,NL[[NL]:[L]],2,FALSE)-VLOOKUP(AD$19,NL[[NL]:[L]],3,FALSE),"W")</f>
        <v>123</v>
      </c>
      <c r="AE23" s="3">
        <f>IF(163-VLOOKUP($T23,NL[[NL]:[L]],2,FALSE)-VLOOKUP(AE$19,NL[[NL]:[L]],3,FALSE)&gt;0,163-VLOOKUP($T23,NL[[NL]:[L]],2,FALSE)-VLOOKUP(AE$19,NL[[NL]:[L]],3,FALSE),"W")</f>
        <v>122</v>
      </c>
      <c r="AF23" s="3">
        <f>IF(163-VLOOKUP($T23,NL[[NL]:[L]],2,FALSE)-VLOOKUP(AF$19,NL[[NL]:[L]],3,FALSE)&gt;0,163-VLOOKUP($T23,NL[[NL]:[L]],2,FALSE)-VLOOKUP(AF$19,NL[[NL]:[L]],3,FALSE),"W")</f>
        <v>121</v>
      </c>
      <c r="AG23" s="3">
        <f>IF(163-VLOOKUP($T23,NL[[NL]:[L]],2,FALSE)-VLOOKUP(AG$19,NL[[NL]:[L]],3,FALSE)&gt;0,163-VLOOKUP($T23,NL[[NL]:[L]],2,FALSE)-VLOOKUP(AG$19,NL[[NL]:[L]],3,FALSE),"W")</f>
        <v>121</v>
      </c>
      <c r="AH23" s="3">
        <f>IF(163-VLOOKUP($T23,NL[[NL]:[L]],2,FALSE)-VLOOKUP(AH$19,NL[[NL]:[L]],3,FALSE)&gt;0,163-VLOOKUP($T23,NL[[NL]:[L]],2,FALSE)-VLOOKUP(AH$19,NL[[NL]:[L]],3,FALSE),"W")</f>
        <v>114</v>
      </c>
      <c r="AI23" s="4">
        <f>IF(163-VLOOKUP($T23,NL[[NL]:[L]],2,FALSE)-VLOOKUP(AI$19,NL[[NL]:[L]],3,FALSE)&gt;0,163-VLOOKUP($T23,NL[[NL]:[L]],2,FALSE)-VLOOKUP(AI$19,NL[[NL]:[L]],3,FALSE),"W")</f>
        <v>115</v>
      </c>
      <c r="AJ23" s="1" t="str">
        <f>IF(AA23="W","WC","")</f>
        <v/>
      </c>
      <c r="AK23" t="str">
        <f t="shared" si="1"/>
        <v/>
      </c>
    </row>
    <row r="24" spans="2:37" x14ac:dyDescent="0.35">
      <c r="B24" t="s">
        <v>31</v>
      </c>
      <c r="C24">
        <f>VLOOKUP(NL[[#This Row],[NL]],simOutput[],2,0)</f>
        <v>22</v>
      </c>
      <c r="D24">
        <f>VLOOKUP(NL[[#This Row],[NL]],simOutput[],3,0)</f>
        <v>15</v>
      </c>
      <c r="E24" s="8">
        <f>(NL[[#This Row],[W]]/NL[[#This Row],[GP]])-NL[[#This Row],[Tiebreak]]/100000</f>
        <v>0.59438459459459458</v>
      </c>
      <c r="F24">
        <f>NL[[#This Row],[W]]+NL[[#This Row],[L]]</f>
        <v>37</v>
      </c>
      <c r="G24">
        <f>162-NL[[#This Row],[GP]]</f>
        <v>125</v>
      </c>
      <c r="H24">
        <f>IF(NL[[#This Row],[%]]=_xlfn.MAXIFS(NL[%],NL[Division],NL[[#This Row],[Division]]),"Div. Lead",RANK(NL[[#This Row],[%]],NL[%]))</f>
        <v>5</v>
      </c>
      <c r="I24" t="s">
        <v>46</v>
      </c>
      <c r="J24">
        <f>VLOOKUP(NL[[#This Row],[NL]],Table_0[],18,0)</f>
        <v>21</v>
      </c>
      <c r="K24" s="25">
        <f>VLOOKUP(NL[[#This Row],[NL]],simOutput[],5,0)</f>
        <v>16</v>
      </c>
      <c r="L24" s="25">
        <f>VLOOKUP(NL[[#This Row],[NL]],Table_0[],12,0)</f>
        <v>16</v>
      </c>
      <c r="M24" s="24">
        <f>VLOOKUP(NL[[#This Row],[NL]],simOutput[],4,0)</f>
        <v>0.6632560000005806</v>
      </c>
      <c r="N24" s="28" t="str">
        <f>IF((NL[[#This Row],[Rdiff-Sim]]-NL[[#This Row],[Rdiff-MLB]])=0,"","ERROR")</f>
        <v/>
      </c>
      <c r="S24" s="10">
        <v>5</v>
      </c>
      <c r="T24" s="5" t="str" cm="1">
        <f t="array" ref="T24">INDEX(NL[NL],MATCH(SMALL(NL[WC Rank],S24-3),NL[WC Rank],0),0)</f>
        <v>CHC</v>
      </c>
      <c r="U24" s="5">
        <f>IF((163-VLOOKUP($T24,NL[[NL]:[L]],2,FALSE)-VLOOKUP(U$19,NL[[NL]:[L]],3,FALSE))&lt;=(VLOOKUP($T24,NL[[NL]:[GR]],6,FALSE)+VLOOKUP(U$19,NL[[NL]:[GR]],6,FALSE))+1,163-VLOOKUP($T24,NL[[NL]:[L]],2,FALSE)-VLOOKUP(U$19,NL[[NL]:[L]],3,FALSE),"X")</f>
        <v>130</v>
      </c>
      <c r="V24" s="1">
        <f>IF((163-VLOOKUP($T24,NL[[NL]:[L]],2,FALSE)-VLOOKUP(V$19,NL[[NL]:[L]],3,FALSE))&lt;=(VLOOKUP($T24,NL[[NL]:[GR]],6,FALSE)+VLOOKUP(V$19,NL[[NL]:[GR]],6,FALSE))+1,163-VLOOKUP($T24,NL[[NL]:[L]],2,FALSE)-VLOOKUP(V$19,NL[[NL]:[L]],3,FALSE),"X")</f>
        <v>128</v>
      </c>
      <c r="W24" s="11">
        <f>IF((163-VLOOKUP($T24,NL[[NL]:[L]],2,FALSE)-VLOOKUP(W$19,NL[[NL]:[L]],3,FALSE))&lt;=(VLOOKUP($T24,NL[[NL]:[GR]],6,FALSE)+VLOOKUP(W$19,NL[[NL]:[GR]],6,FALSE))+1,163-VLOOKUP($T24,NL[[NL]:[L]],2,FALSE)-VLOOKUP(W$19,NL[[NL]:[L]],3,FALSE),"X")</f>
        <v>127</v>
      </c>
      <c r="X24" s="5">
        <f>IF((163-VLOOKUP($T24,NL[[NL]:[L]],2,FALSE)-VLOOKUP(X$19,NL[[NL]:[L]],3,FALSE))&lt;=(VLOOKUP($T24,NL[[NL]:[GR]],6,FALSE)+VLOOKUP(X$19,NL[[NL]:[GR]],6,FALSE))+1,163-VLOOKUP($T24,NL[[NL]:[L]],2,FALSE)-VLOOKUP(X$19,NL[[NL]:[L]],3,FALSE),"X")</f>
        <v>129</v>
      </c>
      <c r="Y24" s="1"/>
      <c r="Z24" s="11">
        <f>IF(163-VLOOKUP($T24,NL[[NL]:[L]],2,FALSE)-VLOOKUP(Z$19,NL[[NL]:[L]],3,FALSE)&gt;0,163-VLOOKUP($T24,NL[[NL]:[L]],2,FALSE)-VLOOKUP(Z$19,NL[[NL]:[L]],3,FALSE),"W")</f>
        <v>124</v>
      </c>
      <c r="AA24" s="1">
        <f>IF(163-VLOOKUP($T24,NL[[NL]:[L]],2,FALSE)-VLOOKUP(AA$19,NL[[NL]:[L]],3,FALSE)&gt;0,163-VLOOKUP($T24,NL[[NL]:[L]],2,FALSE)-VLOOKUP(AA$19,NL[[NL]:[L]],3,FALSE),"W")</f>
        <v>123</v>
      </c>
      <c r="AB24" s="1">
        <f>IF(163-VLOOKUP($T24,NL[[NL]:[L]],2,FALSE)-VLOOKUP(AB$19,NL[[NL]:[L]],3,FALSE)&gt;0,163-VLOOKUP($T24,NL[[NL]:[L]],2,FALSE)-VLOOKUP(AB$19,NL[[NL]:[L]],3,FALSE),"W")</f>
        <v>121</v>
      </c>
      <c r="AC24" s="1">
        <f>IF(163-VLOOKUP($T24,NL[[NL]:[L]],2,FALSE)-VLOOKUP(AC$19,NL[[NL]:[L]],3,FALSE)&gt;0,163-VLOOKUP($T24,NL[[NL]:[L]],2,FALSE)-VLOOKUP(AC$19,NL[[NL]:[L]],3,FALSE),"W")</f>
        <v>121</v>
      </c>
      <c r="AD24" s="1">
        <f>IF(163-VLOOKUP($T24,NL[[NL]:[L]],2,FALSE)-VLOOKUP(AD$19,NL[[NL]:[L]],3,FALSE)&gt;0,163-VLOOKUP($T24,NL[[NL]:[L]],2,FALSE)-VLOOKUP(AD$19,NL[[NL]:[L]],3,FALSE),"W")</f>
        <v>122</v>
      </c>
      <c r="AE24" s="1">
        <f>IF(163-VLOOKUP($T24,NL[[NL]:[L]],2,FALSE)-VLOOKUP(AE$19,NL[[NL]:[L]],3,FALSE)&gt;0,163-VLOOKUP($T24,NL[[NL]:[L]],2,FALSE)-VLOOKUP(AE$19,NL[[NL]:[L]],3,FALSE),"W")</f>
        <v>121</v>
      </c>
      <c r="AF24" s="1">
        <f>IF(163-VLOOKUP($T24,NL[[NL]:[L]],2,FALSE)-VLOOKUP(AF$19,NL[[NL]:[L]],3,FALSE)&gt;0,163-VLOOKUP($T24,NL[[NL]:[L]],2,FALSE)-VLOOKUP(AF$19,NL[[NL]:[L]],3,FALSE),"W")</f>
        <v>120</v>
      </c>
      <c r="AG24" s="1">
        <f>IF(163-VLOOKUP($T24,NL[[NL]:[L]],2,FALSE)-VLOOKUP(AG$19,NL[[NL]:[L]],3,FALSE)&gt;0,163-VLOOKUP($T24,NL[[NL]:[L]],2,FALSE)-VLOOKUP(AG$19,NL[[NL]:[L]],3,FALSE),"W")</f>
        <v>120</v>
      </c>
      <c r="AH24" s="1">
        <f>IF(163-VLOOKUP($T24,NL[[NL]:[L]],2,FALSE)-VLOOKUP(AH$19,NL[[NL]:[L]],3,FALSE)&gt;0,163-VLOOKUP($T24,NL[[NL]:[L]],2,FALSE)-VLOOKUP(AH$19,NL[[NL]:[L]],3,FALSE),"W")</f>
        <v>113</v>
      </c>
      <c r="AI24" s="11">
        <f>IF(163-VLOOKUP($T24,NL[[NL]:[L]],2,FALSE)-VLOOKUP(AI$19,NL[[NL]:[L]],3,FALSE)&gt;0,163-VLOOKUP($T24,NL[[NL]:[L]],2,FALSE)-VLOOKUP(AI$19,NL[[NL]:[L]],3,FALSE),"W")</f>
        <v>114</v>
      </c>
      <c r="AJ24" s="1" t="str">
        <f>IF(AA24="W","WC","")</f>
        <v/>
      </c>
      <c r="AK24" t="str">
        <f t="shared" si="1"/>
        <v/>
      </c>
    </row>
    <row r="25" spans="2:37" ht="15" thickBot="1" x14ac:dyDescent="0.4">
      <c r="B25" t="s">
        <v>53</v>
      </c>
      <c r="C25">
        <f>VLOOKUP(NL[[#This Row],[NL]],simOutput[],2,0)</f>
        <v>18</v>
      </c>
      <c r="D25">
        <f>VLOOKUP(NL[[#This Row],[NL]],simOutput[],3,0)</f>
        <v>17</v>
      </c>
      <c r="E25" s="8">
        <f>(NL[[#This Row],[W]]/NL[[#This Row],[GP]])-NL[[#This Row],[Tiebreak]]/100000</f>
        <v>0.51406571428571424</v>
      </c>
      <c r="F25">
        <f>NL[[#This Row],[W]]+NL[[#This Row],[L]]</f>
        <v>35</v>
      </c>
      <c r="G25">
        <f>162-NL[[#This Row],[GP]]</f>
        <v>127</v>
      </c>
      <c r="H25">
        <f>IF(NL[[#This Row],[%]]=_xlfn.MAXIFS(NL[%],NL[Division],NL[[#This Row],[Division]]),"Div. Lead",RANK(NL[[#This Row],[%]],NL[%]))</f>
        <v>6</v>
      </c>
      <c r="I25" t="s">
        <v>45</v>
      </c>
      <c r="J25">
        <f>VLOOKUP(NL[[#This Row],[NL]],Table_0[],18,0)</f>
        <v>22</v>
      </c>
      <c r="K25" s="25">
        <f>VLOOKUP(NL[[#This Row],[NL]],simOutput[],5,0)</f>
        <v>-7</v>
      </c>
      <c r="L25" s="25">
        <f>VLOOKUP(NL[[#This Row],[NL]],Table_0[],12,0)</f>
        <v>-7</v>
      </c>
      <c r="M25" s="24">
        <f>VLOOKUP(NL[[#This Row],[NL]],simOutput[],4,0)</f>
        <v>0.36127600000027865</v>
      </c>
      <c r="N25" s="28" t="str">
        <f>IF((NL[[#This Row],[Rdiff-Sim]]-NL[[#This Row],[Rdiff-MLB]])=0,"","ERROR")</f>
        <v/>
      </c>
      <c r="O25" s="15" t="s">
        <v>38</v>
      </c>
      <c r="P25" s="16" t="s">
        <v>7</v>
      </c>
      <c r="Q25" s="17" t="s">
        <v>7</v>
      </c>
      <c r="S25" s="10">
        <v>6</v>
      </c>
      <c r="T25" s="6" t="str" cm="1">
        <f t="array" ref="T25">INDEX(NL[NL],MATCH(SMALL(NL[WC Rank],S25-3),NL[WC Rank],0),0)</f>
        <v>WSH</v>
      </c>
      <c r="U25" s="6">
        <f>IF((163-VLOOKUP($T25,NL[[NL]:[L]],2,FALSE)-VLOOKUP(U$19,NL[[NL]:[L]],3,FALSE))&lt;=(VLOOKUP($T25,NL[[NL]:[GR]],6,FALSE)+VLOOKUP(U$19,NL[[NL]:[GR]],6,FALSE))+1,163-VLOOKUP($T25,NL[[NL]:[L]],2,FALSE)-VLOOKUP(U$19,NL[[NL]:[L]],3,FALSE),"X")</f>
        <v>134</v>
      </c>
      <c r="V25" s="12">
        <f>IF((163-VLOOKUP($T25,NL[[NL]:[L]],2,FALSE)-VLOOKUP(V$19,NL[[NL]:[L]],3,FALSE))&lt;=(VLOOKUP($T25,NL[[NL]:[GR]],6,FALSE)+VLOOKUP(V$19,NL[[NL]:[GR]],6,FALSE))+1,163-VLOOKUP($T25,NL[[NL]:[L]],2,FALSE)-VLOOKUP(V$19,NL[[NL]:[L]],3,FALSE),"X")</f>
        <v>132</v>
      </c>
      <c r="W25" s="13">
        <f>IF((163-VLOOKUP($T25,NL[[NL]:[L]],2,FALSE)-VLOOKUP(W$19,NL[[NL]:[L]],3,FALSE))&lt;=(VLOOKUP($T25,NL[[NL]:[GR]],6,FALSE)+VLOOKUP(W$19,NL[[NL]:[GR]],6,FALSE))+1,163-VLOOKUP($T25,NL[[NL]:[L]],2,FALSE)-VLOOKUP(W$19,NL[[NL]:[L]],3,FALSE),"X")</f>
        <v>131</v>
      </c>
      <c r="X25" s="6">
        <f>IF((163-VLOOKUP($T25,NL[[NL]:[L]],2,FALSE)-VLOOKUP(X$19,NL[[NL]:[L]],3,FALSE))&lt;=(VLOOKUP($T25,NL[[NL]:[GR]],6,FALSE)+VLOOKUP(X$19,NL[[NL]:[GR]],6,FALSE))+1,163-VLOOKUP($T25,NL[[NL]:[L]],2,FALSE)-VLOOKUP(X$19,NL[[NL]:[L]],3,FALSE),"X")</f>
        <v>133</v>
      </c>
      <c r="Y25" s="12">
        <f>IF((163-VLOOKUP($T25,NL[[NL]:[L]],2,FALSE)-VLOOKUP(Y$19,NL[[NL]:[L]],3,FALSE))&lt;=(VLOOKUP($T25,NL[[NL]:[GR]],6,FALSE)+VLOOKUP(Y$19,NL[[NL]:[GR]],6,FALSE))+1,163-VLOOKUP($T25,NL[[NL]:[L]],2,FALSE)-VLOOKUP(Y$19,NL[[NL]:[L]],3,FALSE),"X")</f>
        <v>130</v>
      </c>
      <c r="Z25" s="13"/>
      <c r="AA25" s="12">
        <f>IF(163-VLOOKUP($T25,NL[[NL]:[L]],2,FALSE)-VLOOKUP(AA$19,NL[[NL]:[L]],3,FALSE)&gt;0,163-VLOOKUP($T25,NL[[NL]:[L]],2,FALSE)-VLOOKUP(AA$19,NL[[NL]:[L]],3,FALSE),"W")</f>
        <v>127</v>
      </c>
      <c r="AB25" s="12">
        <f>IF(163-VLOOKUP($T25,NL[[NL]:[L]],2,FALSE)-VLOOKUP(AB$19,NL[[NL]:[L]],3,FALSE)&gt;0,163-VLOOKUP($T25,NL[[NL]:[L]],2,FALSE)-VLOOKUP(AB$19,NL[[NL]:[L]],3,FALSE),"W")</f>
        <v>125</v>
      </c>
      <c r="AC25" s="12">
        <f>IF(163-VLOOKUP($T25,NL[[NL]:[L]],2,FALSE)-VLOOKUP(AC$19,NL[[NL]:[L]],3,FALSE)&gt;0,163-VLOOKUP($T25,NL[[NL]:[L]],2,FALSE)-VLOOKUP(AC$19,NL[[NL]:[L]],3,FALSE),"W")</f>
        <v>125</v>
      </c>
      <c r="AD25" s="12">
        <f>IF(163-VLOOKUP($T25,NL[[NL]:[L]],2,FALSE)-VLOOKUP(AD$19,NL[[NL]:[L]],3,FALSE)&gt;0,163-VLOOKUP($T25,NL[[NL]:[L]],2,FALSE)-VLOOKUP(AD$19,NL[[NL]:[L]],3,FALSE),"W")</f>
        <v>126</v>
      </c>
      <c r="AE25" s="12">
        <f>IF(163-VLOOKUP($T25,NL[[NL]:[L]],2,FALSE)-VLOOKUP(AE$19,NL[[NL]:[L]],3,FALSE)&gt;0,163-VLOOKUP($T25,NL[[NL]:[L]],2,FALSE)-VLOOKUP(AE$19,NL[[NL]:[L]],3,FALSE),"W")</f>
        <v>125</v>
      </c>
      <c r="AF25" s="12">
        <f>IF(163-VLOOKUP($T25,NL[[NL]:[L]],2,FALSE)-VLOOKUP(AF$19,NL[[NL]:[L]],3,FALSE)&gt;0,163-VLOOKUP($T25,NL[[NL]:[L]],2,FALSE)-VLOOKUP(AF$19,NL[[NL]:[L]],3,FALSE),"W")</f>
        <v>124</v>
      </c>
      <c r="AG25" s="12">
        <f>IF(163-VLOOKUP($T25,NL[[NL]:[L]],2,FALSE)-VLOOKUP(AG$19,NL[[NL]:[L]],3,FALSE)&gt;0,163-VLOOKUP($T25,NL[[NL]:[L]],2,FALSE)-VLOOKUP(AG$19,NL[[NL]:[L]],3,FALSE),"W")</f>
        <v>124</v>
      </c>
      <c r="AH25" s="12">
        <f>IF(163-VLOOKUP($T25,NL[[NL]:[L]],2,FALSE)-VLOOKUP(AH$19,NL[[NL]:[L]],3,FALSE)&gt;0,163-VLOOKUP($T25,NL[[NL]:[L]],2,FALSE)-VLOOKUP(AH$19,NL[[NL]:[L]],3,FALSE),"W")</f>
        <v>117</v>
      </c>
      <c r="AI25" s="13">
        <f>IF(163-VLOOKUP($T25,NL[[NL]:[L]],2,FALSE)-VLOOKUP(AI$19,NL[[NL]:[L]],3,FALSE)&gt;0,163-VLOOKUP($T25,NL[[NL]:[L]],2,FALSE)-VLOOKUP(AI$19,NL[[NL]:[L]],3,FALSE),"W")</f>
        <v>118</v>
      </c>
      <c r="AJ25" s="1" t="str">
        <f>IF(AA25="W","WC","")</f>
        <v/>
      </c>
      <c r="AK25" t="str">
        <f t="shared" si="1"/>
        <v/>
      </c>
    </row>
    <row r="26" spans="2:37" x14ac:dyDescent="0.35">
      <c r="B26" t="s">
        <v>26</v>
      </c>
      <c r="C26">
        <f>VLOOKUP(NL[[#This Row],[NL]],simOutput[],2,0)</f>
        <v>18</v>
      </c>
      <c r="D26">
        <f>VLOOKUP(NL[[#This Row],[NL]],simOutput[],3,0)</f>
        <v>18</v>
      </c>
      <c r="E26" s="8">
        <f>(NL[[#This Row],[W]]/NL[[#This Row],[GP]])-NL[[#This Row],[Tiebreak]]/100000</f>
        <v>0.49976999999999999</v>
      </c>
      <c r="F26">
        <f>NL[[#This Row],[W]]+NL[[#This Row],[L]]</f>
        <v>36</v>
      </c>
      <c r="G26">
        <f>162-NL[[#This Row],[GP]]</f>
        <v>126</v>
      </c>
      <c r="H26">
        <f>IF(NL[[#This Row],[%]]=_xlfn.MAXIFS(NL[%],NL[Division],NL[[#This Row],[Division]]),"Div. Lead",RANK(NL[[#This Row],[%]],NL[%]))</f>
        <v>7</v>
      </c>
      <c r="I26" t="s">
        <v>45</v>
      </c>
      <c r="J26">
        <f>VLOOKUP(NL[[#This Row],[NL]],Table_0[],18,0)</f>
        <v>23</v>
      </c>
      <c r="K26" s="25">
        <f>VLOOKUP(NL[[#This Row],[NL]],simOutput[],5,0)</f>
        <v>5</v>
      </c>
      <c r="L26" s="25">
        <f>VLOOKUP(NL[[#This Row],[NL]],Table_0[],12,0)</f>
        <v>5</v>
      </c>
      <c r="M26" s="24">
        <f>VLOOKUP(NL[[#This Row],[NL]],simOutput[],4,0)</f>
        <v>0.36734400000028472</v>
      </c>
      <c r="N26" s="28" t="str">
        <f>IF((NL[[#This Row],[Rdiff-Sim]]-NL[[#This Row],[Rdiff-MLB]])=0,"","ERROR")</f>
        <v/>
      </c>
      <c r="O26" s="18" t="s">
        <v>14</v>
      </c>
      <c r="P26" s="19">
        <f>_xlfn.MAXIFS(NL[%],NL[Division],"NLE")</f>
        <v>0.70253270270270274</v>
      </c>
      <c r="Q26" s="20" t="str" cm="1">
        <f t="array" ref="Q26">INDEX(NL[NL],MATCH(1,(P26=NL[%])*(NL[Division]="NLE"),0),0)</f>
        <v>PHI</v>
      </c>
      <c r="S26" s="9">
        <v>7</v>
      </c>
      <c r="T26" s="5" t="str" cm="1">
        <f t="array" ref="T26">INDEX(NL[NL],MATCH(SMALL(NL[WC Rank],S26-3),NL[WC Rank],0),0)</f>
        <v>NYM</v>
      </c>
      <c r="U26" s="5">
        <f>IF((163-VLOOKUP($T26,NL[[NL]:[L]],2,FALSE)-VLOOKUP(U$19,NL[[NL]:[L]],3,FALSE))&lt;=(VLOOKUP($T26,NL[[NL]:[GR]],6,FALSE)+VLOOKUP(U$19,NL[[NL]:[GR]],6,FALSE))+1,163-VLOOKUP($T26,NL[[NL]:[L]],2,FALSE)-VLOOKUP(U$19,NL[[NL]:[L]],3,FALSE),"X")</f>
        <v>134</v>
      </c>
      <c r="V26" s="1">
        <f>IF((163-VLOOKUP($T26,NL[[NL]:[L]],2,FALSE)-VLOOKUP(V$19,NL[[NL]:[L]],3,FALSE))&lt;=(VLOOKUP($T26,NL[[NL]:[GR]],6,FALSE)+VLOOKUP(V$19,NL[[NL]:[GR]],6,FALSE))+1,163-VLOOKUP($T26,NL[[NL]:[L]],2,FALSE)-VLOOKUP(V$19,NL[[NL]:[L]],3,FALSE),"X")</f>
        <v>132</v>
      </c>
      <c r="W26" s="11">
        <f>IF((163-VLOOKUP($T26,NL[[NL]:[L]],2,FALSE)-VLOOKUP(W$19,NL[[NL]:[L]],3,FALSE))&lt;=(VLOOKUP($T26,NL[[NL]:[GR]],6,FALSE)+VLOOKUP(W$19,NL[[NL]:[GR]],6,FALSE))+1,163-VLOOKUP($T26,NL[[NL]:[L]],2,FALSE)-VLOOKUP(W$19,NL[[NL]:[L]],3,FALSE),"X")</f>
        <v>131</v>
      </c>
      <c r="X26" s="5">
        <f>IF((163-VLOOKUP($T26,NL[[NL]:[L]],2,FALSE)-VLOOKUP(X$19,NL[[NL]:[L]],3,FALSE))&lt;=(VLOOKUP($T26,NL[[NL]:[GR]],6,FALSE)+VLOOKUP(X$19,NL[[NL]:[GR]],6,FALSE))+1,163-VLOOKUP($T26,NL[[NL]:[L]],2,FALSE)-VLOOKUP(X$19,NL[[NL]:[L]],3,FALSE),"X")</f>
        <v>133</v>
      </c>
      <c r="Y26" s="1">
        <f>IF((163-VLOOKUP($T26,NL[[NL]:[L]],2,FALSE)-VLOOKUP(Y$19,NL[[NL]:[L]],3,FALSE))&lt;=(VLOOKUP($T26,NL[[NL]:[GR]],6,FALSE)+VLOOKUP(Y$19,NL[[NL]:[GR]],6,FALSE))+1,163-VLOOKUP($T26,NL[[NL]:[L]],2,FALSE)-VLOOKUP(Y$19,NL[[NL]:[L]],3,FALSE),"X")</f>
        <v>130</v>
      </c>
      <c r="Z26" s="11">
        <f>IF((163-VLOOKUP($T26,NL[[NL]:[L]],2,FALSE)-VLOOKUP(Z$19,NL[[NL]:[L]],3,FALSE))&lt;=(VLOOKUP($T26,NL[[NL]:[GR]],6,FALSE)+VLOOKUP(Z$19,NL[[NL]:[GR]],6,FALSE))+1,163-VLOOKUP($T26,NL[[NL]:[L]],2,FALSE)-VLOOKUP(Z$19,NL[[NL]:[L]],3,FALSE),"X")</f>
        <v>128</v>
      </c>
      <c r="AA26" s="1"/>
      <c r="AB26" s="1">
        <f>IF(163-VLOOKUP($T26,NL[[NL]:[L]],2,FALSE)-VLOOKUP(AB$19,NL[[NL]:[L]],3,FALSE)&gt;0,163-VLOOKUP($T26,NL[[NL]:[L]],2,FALSE)-VLOOKUP(AB$19,NL[[NL]:[L]],3,FALSE),"W")</f>
        <v>125</v>
      </c>
      <c r="AC26" s="1">
        <f>IF(163-VLOOKUP($T26,NL[[NL]:[L]],2,FALSE)-VLOOKUP(AC$19,NL[[NL]:[L]],3,FALSE)&gt;0,163-VLOOKUP($T26,NL[[NL]:[L]],2,FALSE)-VLOOKUP(AC$19,NL[[NL]:[L]],3,FALSE),"W")</f>
        <v>125</v>
      </c>
      <c r="AD26" s="1">
        <f>IF(163-VLOOKUP($T26,NL[[NL]:[L]],2,FALSE)-VLOOKUP(AD$19,NL[[NL]:[L]],3,FALSE)&gt;0,163-VLOOKUP($T26,NL[[NL]:[L]],2,FALSE)-VLOOKUP(AD$19,NL[[NL]:[L]],3,FALSE),"W")</f>
        <v>126</v>
      </c>
      <c r="AE26" s="1">
        <f>IF(163-VLOOKUP($T26,NL[[NL]:[L]],2,FALSE)-VLOOKUP(AE$19,NL[[NL]:[L]],3,FALSE)&gt;0,163-VLOOKUP($T26,NL[[NL]:[L]],2,FALSE)-VLOOKUP(AE$19,NL[[NL]:[L]],3,FALSE),"W")</f>
        <v>125</v>
      </c>
      <c r="AF26" s="1">
        <f>IF(163-VLOOKUP($T26,NL[[NL]:[L]],2,FALSE)-VLOOKUP(AF$19,NL[[NL]:[L]],3,FALSE)&gt;0,163-VLOOKUP($T26,NL[[NL]:[L]],2,FALSE)-VLOOKUP(AF$19,NL[[NL]:[L]],3,FALSE),"W")</f>
        <v>124</v>
      </c>
      <c r="AG26" s="1">
        <f>IF(163-VLOOKUP($T26,NL[[NL]:[L]],2,FALSE)-VLOOKUP(AG$19,NL[[NL]:[L]],3,FALSE)&gt;0,163-VLOOKUP($T26,NL[[NL]:[L]],2,FALSE)-VLOOKUP(AG$19,NL[[NL]:[L]],3,FALSE),"W")</f>
        <v>124</v>
      </c>
      <c r="AH26" s="1">
        <f>IF(163-VLOOKUP($T26,NL[[NL]:[L]],2,FALSE)-VLOOKUP(AH$19,NL[[NL]:[L]],3,FALSE)&gt;0,163-VLOOKUP($T26,NL[[NL]:[L]],2,FALSE)-VLOOKUP(AH$19,NL[[NL]:[L]],3,FALSE),"W")</f>
        <v>117</v>
      </c>
      <c r="AI26" s="11">
        <f>IF(163-VLOOKUP($T26,NL[[NL]:[L]],2,FALSE)-VLOOKUP(AI$19,NL[[NL]:[L]],3,FALSE)&gt;0,163-VLOOKUP($T26,NL[[NL]:[L]],2,FALSE)-VLOOKUP(AI$19,NL[[NL]:[L]],3,FALSE),"W")</f>
        <v>118</v>
      </c>
      <c r="AJ26" s="1" t="str">
        <f>IF(OR(Z26&lt;&gt;"X",163-_xlfn.MAXIFS(NL[W],NL[Division],VLOOKUP(T26,NL[],8,FALSE))-VLOOKUP(T26,NL[],3,FALSE)&gt;0),"","X")</f>
        <v/>
      </c>
      <c r="AK26" t="str">
        <f t="shared" si="1"/>
        <v/>
      </c>
    </row>
    <row r="27" spans="2:37" x14ac:dyDescent="0.35">
      <c r="B27" t="s">
        <v>52</v>
      </c>
      <c r="C27">
        <f>VLOOKUP(NL[[#This Row],[NL]],simOutput[],2,0)</f>
        <v>19</v>
      </c>
      <c r="D27">
        <f>VLOOKUP(NL[[#This Row],[NL]],simOutput[],3,0)</f>
        <v>20</v>
      </c>
      <c r="E27" s="8">
        <f>(NL[[#This Row],[W]]/NL[[#This Row],[GP]])-NL[[#This Row],[Tiebreak]]/100000</f>
        <v>0.48693948717948715</v>
      </c>
      <c r="F27">
        <f>NL[[#This Row],[W]]+NL[[#This Row],[L]]</f>
        <v>39</v>
      </c>
      <c r="G27">
        <f>162-NL[[#This Row],[GP]]</f>
        <v>123</v>
      </c>
      <c r="H27">
        <f>IF(NL[[#This Row],[%]]=_xlfn.MAXIFS(NL[%],NL[Division],NL[[#This Row],[Division]]),"Div. Lead",RANK(NL[[#This Row],[%]],NL[%]))</f>
        <v>8</v>
      </c>
      <c r="I27" t="s">
        <v>47</v>
      </c>
      <c r="J27">
        <f>VLOOKUP(NL[[#This Row],[NL]],Table_0[],18,0)</f>
        <v>24</v>
      </c>
      <c r="K27" s="25">
        <f>VLOOKUP(NL[[#This Row],[NL]],simOutput[],5,0)</f>
        <v>13</v>
      </c>
      <c r="L27" s="25">
        <f>VLOOKUP(NL[[#This Row],[NL]],Table_0[],12,0)</f>
        <v>13</v>
      </c>
      <c r="M27" s="24">
        <f>VLOOKUP(NL[[#This Row],[NL]],simOutput[],4,0)</f>
        <v>0.35726800000027464</v>
      </c>
      <c r="N27" s="28" t="str">
        <f>IF((NL[[#This Row],[Rdiff-Sim]]-NL[[#This Row],[Rdiff-MLB]])=0,"","ERROR")</f>
        <v/>
      </c>
      <c r="O27" s="18" t="s">
        <v>13</v>
      </c>
      <c r="P27" s="19">
        <f>_xlfn.MAXIFS(NL[%],NL[Division],"NLC")</f>
        <v>0.5998</v>
      </c>
      <c r="Q27" s="20" t="str" cm="1">
        <f t="array" ref="Q27">INDEX(NL[NL],MATCH(1,(P27=NL[%])*(NL[Division]="NLC"),0),0)</f>
        <v>MIL</v>
      </c>
      <c r="S27" s="9">
        <v>8</v>
      </c>
      <c r="T27" s="5" t="str" cm="1">
        <f t="array" ref="T27">INDEX(NL[NL],MATCH(SMALL(NL[WC Rank],S27-3),NL[WC Rank],0),0)</f>
        <v>SDP</v>
      </c>
      <c r="U27" s="5">
        <f>IF((163-VLOOKUP($T27,NL[[NL]:[L]],2,FALSE)-VLOOKUP(U$19,NL[[NL]:[L]],3,FALSE))&lt;=(VLOOKUP($T27,NL[[NL]:[GR]],6,FALSE)+VLOOKUP(U$19,NL[[NL]:[GR]],6,FALSE))+1,163-VLOOKUP($T27,NL[[NL]:[L]],2,FALSE)-VLOOKUP(U$19,NL[[NL]:[L]],3,FALSE),"X")</f>
        <v>133</v>
      </c>
      <c r="V27" s="1">
        <f>IF((163-VLOOKUP($T27,NL[[NL]:[L]],2,FALSE)-VLOOKUP(V$19,NL[[NL]:[L]],3,FALSE))&lt;=(VLOOKUP($T27,NL[[NL]:[GR]],6,FALSE)+VLOOKUP(V$19,NL[[NL]:[GR]],6,FALSE))+1,163-VLOOKUP($T27,NL[[NL]:[L]],2,FALSE)-VLOOKUP(V$19,NL[[NL]:[L]],3,FALSE),"X")</f>
        <v>131</v>
      </c>
      <c r="W27" s="11">
        <f>IF((163-VLOOKUP($T27,NL[[NL]:[L]],2,FALSE)-VLOOKUP(W$19,NL[[NL]:[L]],3,FALSE))&lt;=(VLOOKUP($T27,NL[[NL]:[GR]],6,FALSE)+VLOOKUP(W$19,NL[[NL]:[GR]],6,FALSE))+1,163-VLOOKUP($T27,NL[[NL]:[L]],2,FALSE)-VLOOKUP(W$19,NL[[NL]:[L]],3,FALSE),"X")</f>
        <v>130</v>
      </c>
      <c r="X27" s="5">
        <f>IF((163-VLOOKUP($T27,NL[[NL]:[L]],2,FALSE)-VLOOKUP(X$19,NL[[NL]:[L]],3,FALSE))&lt;=(VLOOKUP($T27,NL[[NL]:[GR]],6,FALSE)+VLOOKUP(X$19,NL[[NL]:[GR]],6,FALSE))+1,163-VLOOKUP($T27,NL[[NL]:[L]],2,FALSE)-VLOOKUP(X$19,NL[[NL]:[L]],3,FALSE),"X")</f>
        <v>132</v>
      </c>
      <c r="Y27" s="1">
        <f>IF((163-VLOOKUP($T27,NL[[NL]:[L]],2,FALSE)-VLOOKUP(Y$19,NL[[NL]:[L]],3,FALSE))&lt;=(VLOOKUP($T27,NL[[NL]:[GR]],6,FALSE)+VLOOKUP(Y$19,NL[[NL]:[GR]],6,FALSE))+1,163-VLOOKUP($T27,NL[[NL]:[L]],2,FALSE)-VLOOKUP(Y$19,NL[[NL]:[L]],3,FALSE),"X")</f>
        <v>129</v>
      </c>
      <c r="Z27" s="11">
        <f>IF((163-VLOOKUP($T27,NL[[NL]:[L]],2,FALSE)-VLOOKUP(Z$19,NL[[NL]:[L]],3,FALSE))&lt;=(VLOOKUP($T27,NL[[NL]:[GR]],6,FALSE)+VLOOKUP(Z$19,NL[[NL]:[GR]],6,FALSE))+1,163-VLOOKUP($T27,NL[[NL]:[L]],2,FALSE)-VLOOKUP(Z$19,NL[[NL]:[L]],3,FALSE),"X")</f>
        <v>127</v>
      </c>
      <c r="AA27" s="1">
        <f>IF((163-VLOOKUP($T27,NL[[NL]:[L]],2,FALSE)-VLOOKUP(AA$19,NL[[NL]:[L]],3,FALSE))&lt;=(VLOOKUP($T27,NL[[NL]:[GR]],6,FALSE)+VLOOKUP(AA$19,NL[[NL]:[GR]],6,FALSE))+1,163-VLOOKUP($T27,NL[[NL]:[L]],2,FALSE)-VLOOKUP(AA$19,NL[[NL]:[L]],3,FALSE),"X")</f>
        <v>126</v>
      </c>
      <c r="AB27" s="1"/>
      <c r="AC27" s="1">
        <f>IF(163-VLOOKUP($T27,NL[[NL]:[L]],2,FALSE)-VLOOKUP(AC$19,NL[[NL]:[L]],3,FALSE)&gt;0,163-VLOOKUP($T27,NL[[NL]:[L]],2,FALSE)-VLOOKUP(AC$19,NL[[NL]:[L]],3,FALSE),"W")</f>
        <v>124</v>
      </c>
      <c r="AD27" s="1">
        <f>IF(163-VLOOKUP($T27,NL[[NL]:[L]],2,FALSE)-VLOOKUP(AD$19,NL[[NL]:[L]],3,FALSE)&gt;0,163-VLOOKUP($T27,NL[[NL]:[L]],2,FALSE)-VLOOKUP(AD$19,NL[[NL]:[L]],3,FALSE),"W")</f>
        <v>125</v>
      </c>
      <c r="AE27" s="1">
        <f>IF(163-VLOOKUP($T27,NL[[NL]:[L]],2,FALSE)-VLOOKUP(AE$19,NL[[NL]:[L]],3,FALSE)&gt;0,163-VLOOKUP($T27,NL[[NL]:[L]],2,FALSE)-VLOOKUP(AE$19,NL[[NL]:[L]],3,FALSE),"W")</f>
        <v>124</v>
      </c>
      <c r="AF27" s="1">
        <f>IF(163-VLOOKUP($T27,NL[[NL]:[L]],2,FALSE)-VLOOKUP(AF$19,NL[[NL]:[L]],3,FALSE)&gt;0,163-VLOOKUP($T27,NL[[NL]:[L]],2,FALSE)-VLOOKUP(AF$19,NL[[NL]:[L]],3,FALSE),"W")</f>
        <v>123</v>
      </c>
      <c r="AG27" s="1">
        <f>IF(163-VLOOKUP($T27,NL[[NL]:[L]],2,FALSE)-VLOOKUP(AG$19,NL[[NL]:[L]],3,FALSE)&gt;0,163-VLOOKUP($T27,NL[[NL]:[L]],2,FALSE)-VLOOKUP(AG$19,NL[[NL]:[L]],3,FALSE),"W")</f>
        <v>123</v>
      </c>
      <c r="AH27" s="1">
        <f>IF(163-VLOOKUP($T27,NL[[NL]:[L]],2,FALSE)-VLOOKUP(AH$19,NL[[NL]:[L]],3,FALSE)&gt;0,163-VLOOKUP($T27,NL[[NL]:[L]],2,FALSE)-VLOOKUP(AH$19,NL[[NL]:[L]],3,FALSE),"W")</f>
        <v>116</v>
      </c>
      <c r="AI27" s="11">
        <f>IF(163-VLOOKUP($T27,NL[[NL]:[L]],2,FALSE)-VLOOKUP(AI$19,NL[[NL]:[L]],3,FALSE)&gt;0,163-VLOOKUP($T27,NL[[NL]:[L]],2,FALSE)-VLOOKUP(AI$19,NL[[NL]:[L]],3,FALSE),"W")</f>
        <v>117</v>
      </c>
      <c r="AJ27" s="1" t="str">
        <f>IF(OR(Z27&lt;&gt;"X",163-_xlfn.MAXIFS(NL[W],NL[Division],VLOOKUP(T27,NL[],8,FALSE))-VLOOKUP(T27,NL[],3,FALSE)&gt;0),"","X")</f>
        <v/>
      </c>
      <c r="AK27" t="str">
        <f t="shared" si="1"/>
        <v/>
      </c>
    </row>
    <row r="28" spans="2:37" x14ac:dyDescent="0.35">
      <c r="B28" t="s">
        <v>33</v>
      </c>
      <c r="C28">
        <f>VLOOKUP(NL[[#This Row],[NL]],simOutput[],2,0)</f>
        <v>17</v>
      </c>
      <c r="D28">
        <f>VLOOKUP(NL[[#This Row],[NL]],simOutput[],3,0)</f>
        <v>20</v>
      </c>
      <c r="E28" s="8">
        <f>(NL[[#This Row],[W]]/NL[[#This Row],[GP]])-NL[[#This Row],[Tiebreak]]/100000</f>
        <v>0.45920945945945951</v>
      </c>
      <c r="F28">
        <f>NL[[#This Row],[W]]+NL[[#This Row],[L]]</f>
        <v>37</v>
      </c>
      <c r="G28">
        <f>162-NL[[#This Row],[GP]]</f>
        <v>125</v>
      </c>
      <c r="H28">
        <f>IF(NL[[#This Row],[%]]=_xlfn.MAXIFS(NL[%],NL[Division],NL[[#This Row],[Division]]),"Div. Lead",RANK(NL[[#This Row],[%]],NL[%]))</f>
        <v>9</v>
      </c>
      <c r="I28" t="s">
        <v>46</v>
      </c>
      <c r="J28">
        <f>VLOOKUP(NL[[#This Row],[NL]],Table_0[],18,0)</f>
        <v>25</v>
      </c>
      <c r="K28" s="25">
        <f>VLOOKUP(NL[[#This Row],[NL]],simOutput[],5,0)</f>
        <v>-21</v>
      </c>
      <c r="L28" s="25">
        <f>VLOOKUP(NL[[#This Row],[NL]],Table_0[],12,0)</f>
        <v>-21</v>
      </c>
      <c r="M28" s="24">
        <f>VLOOKUP(NL[[#This Row],[NL]],simOutput[],4,0)</f>
        <v>0.20552000000012291</v>
      </c>
      <c r="N28" s="28" t="str">
        <f>IF((NL[[#This Row],[Rdiff-Sim]]-NL[[#This Row],[Rdiff-MLB]])=0,"","ERROR")</f>
        <v/>
      </c>
      <c r="O28" s="21" t="s">
        <v>12</v>
      </c>
      <c r="P28" s="22">
        <f>_xlfn.MAXIFS(NL[%],NL[Division],"NLW")</f>
        <v>0.65771473684210535</v>
      </c>
      <c r="Q28" s="23" t="str" cm="1">
        <f t="array" ref="Q28">INDEX(NL[NL],MATCH(1,(P28=NL[%])*(NL[Division]="NLW"),0),0)</f>
        <v>LAD</v>
      </c>
      <c r="S28" s="9">
        <v>9</v>
      </c>
      <c r="T28" s="5" t="str" cm="1">
        <f t="array" ref="T28">INDEX(NL[NL],MATCH(SMALL(NL[WC Rank],S28-3),NL[WC Rank],0),0)</f>
        <v>PIT</v>
      </c>
      <c r="U28" s="5">
        <f>IF((163-VLOOKUP($T28,NL[[NL]:[L]],2,FALSE)-VLOOKUP(U$19,NL[[NL]:[L]],3,FALSE))&lt;=(VLOOKUP($T28,NL[[NL]:[GR]],6,FALSE)+VLOOKUP(U$19,NL[[NL]:[GR]],6,FALSE))+1,163-VLOOKUP($T28,NL[[NL]:[L]],2,FALSE)-VLOOKUP(U$19,NL[[NL]:[L]],3,FALSE),"X")</f>
        <v>135</v>
      </c>
      <c r="V28" s="1">
        <f>IF((163-VLOOKUP($T28,NL[[NL]:[L]],2,FALSE)-VLOOKUP(V$19,NL[[NL]:[L]],3,FALSE))&lt;=(VLOOKUP($T28,NL[[NL]:[GR]],6,FALSE)+VLOOKUP(V$19,NL[[NL]:[GR]],6,FALSE))+1,163-VLOOKUP($T28,NL[[NL]:[L]],2,FALSE)-VLOOKUP(V$19,NL[[NL]:[L]],3,FALSE),"X")</f>
        <v>133</v>
      </c>
      <c r="W28" s="11">
        <f>IF((163-VLOOKUP($T28,NL[[NL]:[L]],2,FALSE)-VLOOKUP(W$19,NL[[NL]:[L]],3,FALSE))&lt;=(VLOOKUP($T28,NL[[NL]:[GR]],6,FALSE)+VLOOKUP(W$19,NL[[NL]:[GR]],6,FALSE))+1,163-VLOOKUP($T28,NL[[NL]:[L]],2,FALSE)-VLOOKUP(W$19,NL[[NL]:[L]],3,FALSE),"X")</f>
        <v>132</v>
      </c>
      <c r="X28" s="5">
        <f>IF((163-VLOOKUP($T28,NL[[NL]:[L]],2,FALSE)-VLOOKUP(X$19,NL[[NL]:[L]],3,FALSE))&lt;=(VLOOKUP($T28,NL[[NL]:[GR]],6,FALSE)+VLOOKUP(X$19,NL[[NL]:[GR]],6,FALSE))+1,163-VLOOKUP($T28,NL[[NL]:[L]],2,FALSE)-VLOOKUP(X$19,NL[[NL]:[L]],3,FALSE),"X")</f>
        <v>134</v>
      </c>
      <c r="Y28" s="1">
        <f>IF((163-VLOOKUP($T28,NL[[NL]:[L]],2,FALSE)-VLOOKUP(Y$19,NL[[NL]:[L]],3,FALSE))&lt;=(VLOOKUP($T28,NL[[NL]:[GR]],6,FALSE)+VLOOKUP(Y$19,NL[[NL]:[GR]],6,FALSE))+1,163-VLOOKUP($T28,NL[[NL]:[L]],2,FALSE)-VLOOKUP(Y$19,NL[[NL]:[L]],3,FALSE),"X")</f>
        <v>131</v>
      </c>
      <c r="Z28" s="11">
        <f>IF((163-VLOOKUP($T28,NL[[NL]:[L]],2,FALSE)-VLOOKUP(Z$19,NL[[NL]:[L]],3,FALSE))&lt;=(VLOOKUP($T28,NL[[NL]:[GR]],6,FALSE)+VLOOKUP(Z$19,NL[[NL]:[GR]],6,FALSE))+1,163-VLOOKUP($T28,NL[[NL]:[L]],2,FALSE)-VLOOKUP(Z$19,NL[[NL]:[L]],3,FALSE),"X")</f>
        <v>129</v>
      </c>
      <c r="AA28" s="1">
        <f>IF((163-VLOOKUP($T28,NL[[NL]:[L]],2,FALSE)-VLOOKUP(AA$19,NL[[NL]:[L]],3,FALSE))&lt;=(VLOOKUP($T28,NL[[NL]:[GR]],6,FALSE)+VLOOKUP(AA$19,NL[[NL]:[GR]],6,FALSE))+1,163-VLOOKUP($T28,NL[[NL]:[L]],2,FALSE)-VLOOKUP(AA$19,NL[[NL]:[L]],3,FALSE),"X")</f>
        <v>128</v>
      </c>
      <c r="AB28" s="1">
        <f>IF((163-VLOOKUP($T28,NL[[NL]:[L]],2,FALSE)-VLOOKUP(AB$19,NL[[NL]:[L]],3,FALSE))&lt;=(VLOOKUP($T28,NL[[NL]:[GR]],6,FALSE)+VLOOKUP(AB$19,NL[[NL]:[GR]],6,FALSE))+1,163-VLOOKUP($T28,NL[[NL]:[L]],2,FALSE)-VLOOKUP(AB$19,NL[[NL]:[L]],3,FALSE),"X")</f>
        <v>126</v>
      </c>
      <c r="AC28" s="1"/>
      <c r="AD28" s="1">
        <f>IF(163-VLOOKUP($T28,NL[[NL]:[L]],2,FALSE)-VLOOKUP(AD$19,NL[[NL]:[L]],3,FALSE)&gt;0,163-VLOOKUP($T28,NL[[NL]:[L]],2,FALSE)-VLOOKUP(AD$19,NL[[NL]:[L]],3,FALSE),"W")</f>
        <v>127</v>
      </c>
      <c r="AE28" s="1">
        <f>IF(163-VLOOKUP($T28,NL[[NL]:[L]],2,FALSE)-VLOOKUP(AE$19,NL[[NL]:[L]],3,FALSE)&gt;0,163-VLOOKUP($T28,NL[[NL]:[L]],2,FALSE)-VLOOKUP(AE$19,NL[[NL]:[L]],3,FALSE),"W")</f>
        <v>126</v>
      </c>
      <c r="AF28" s="1">
        <f>IF(163-VLOOKUP($T28,NL[[NL]:[L]],2,FALSE)-VLOOKUP(AF$19,NL[[NL]:[L]],3,FALSE)&gt;0,163-VLOOKUP($T28,NL[[NL]:[L]],2,FALSE)-VLOOKUP(AF$19,NL[[NL]:[L]],3,FALSE),"W")</f>
        <v>125</v>
      </c>
      <c r="AG28" s="1">
        <f>IF(163-VLOOKUP($T28,NL[[NL]:[L]],2,FALSE)-VLOOKUP(AG$19,NL[[NL]:[L]],3,FALSE)&gt;0,163-VLOOKUP($T28,NL[[NL]:[L]],2,FALSE)-VLOOKUP(AG$19,NL[[NL]:[L]],3,FALSE),"W")</f>
        <v>125</v>
      </c>
      <c r="AH28" s="1">
        <f>IF(163-VLOOKUP($T28,NL[[NL]:[L]],2,FALSE)-VLOOKUP(AH$19,NL[[NL]:[L]],3,FALSE)&gt;0,163-VLOOKUP($T28,NL[[NL]:[L]],2,FALSE)-VLOOKUP(AH$19,NL[[NL]:[L]],3,FALSE),"W")</f>
        <v>118</v>
      </c>
      <c r="AI28" s="11">
        <f>IF(163-VLOOKUP($T28,NL[[NL]:[L]],2,FALSE)-VLOOKUP(AI$19,NL[[NL]:[L]],3,FALSE)&gt;0,163-VLOOKUP($T28,NL[[NL]:[L]],2,FALSE)-VLOOKUP(AI$19,NL[[NL]:[L]],3,FALSE),"W")</f>
        <v>119</v>
      </c>
      <c r="AJ28" s="1" t="str">
        <f>IF(OR(Z28&lt;&gt;"X",163-_xlfn.MAXIFS(NL[W],NL[Division],VLOOKUP(T28,NL[],8,FALSE))-VLOOKUP(T28,NL[],3,FALSE)&gt;0),"","X")</f>
        <v/>
      </c>
      <c r="AK28" t="str">
        <f t="shared" si="1"/>
        <v/>
      </c>
    </row>
    <row r="29" spans="2:37" x14ac:dyDescent="0.35">
      <c r="B29" t="s">
        <v>32</v>
      </c>
      <c r="C29">
        <f>VLOOKUP(NL[[#This Row],[NL]],simOutput[],2,0)</f>
        <v>16</v>
      </c>
      <c r="D29">
        <f>VLOOKUP(NL[[#This Row],[NL]],simOutput[],3,0)</f>
        <v>19</v>
      </c>
      <c r="E29" s="8">
        <f>(NL[[#This Row],[W]]/NL[[#This Row],[GP]])-NL[[#This Row],[Tiebreak]]/100000</f>
        <v>0.45688285714285715</v>
      </c>
      <c r="F29">
        <f>NL[[#This Row],[W]]+NL[[#This Row],[L]]</f>
        <v>35</v>
      </c>
      <c r="G29">
        <f>162-NL[[#This Row],[GP]]</f>
        <v>127</v>
      </c>
      <c r="H29">
        <f>IF(NL[[#This Row],[%]]=_xlfn.MAXIFS(NL[%],NL[Division],NL[[#This Row],[Division]]),"Div. Lead",RANK(NL[[#This Row],[%]],NL[%]))</f>
        <v>10</v>
      </c>
      <c r="I29" t="s">
        <v>46</v>
      </c>
      <c r="J29">
        <f>VLOOKUP(NL[[#This Row],[NL]],Table_0[],18,0)</f>
        <v>26</v>
      </c>
      <c r="K29" s="25">
        <f>VLOOKUP(NL[[#This Row],[NL]],simOutput[],5,0)</f>
        <v>0</v>
      </c>
      <c r="L29" s="25">
        <f>VLOOKUP(NL[[#This Row],[NL]],Table_0[],12,0)</f>
        <v>0</v>
      </c>
      <c r="M29" s="24">
        <f>VLOOKUP(NL[[#This Row],[NL]],simOutput[],4,0)</f>
        <v>0.27540000000019277</v>
      </c>
      <c r="N29" s="28" t="str">
        <f>IF((NL[[#This Row],[Rdiff-Sim]]-NL[[#This Row],[Rdiff-MLB]])=0,"","ERROR")</f>
        <v/>
      </c>
      <c r="S29" s="9">
        <v>10</v>
      </c>
      <c r="T29" s="5" t="str" cm="1">
        <f t="array" ref="T29">INDEX(NL[NL],MATCH(SMALL(NL[WC Rank],S29-3),NL[WC Rank],0),0)</f>
        <v>CIN</v>
      </c>
      <c r="U29" s="5">
        <f>IF((163-VLOOKUP($T29,NL[[NL]:[L]],2,FALSE)-VLOOKUP(U$19,NL[[NL]:[L]],3,FALSE))&lt;=(VLOOKUP($T29,NL[[NL]:[GR]],6,FALSE)+VLOOKUP(U$19,NL[[NL]:[GR]],6,FALSE))+1,163-VLOOKUP($T29,NL[[NL]:[L]],2,FALSE)-VLOOKUP(U$19,NL[[NL]:[L]],3,FALSE),"X")</f>
        <v>136</v>
      </c>
      <c r="V29" s="1">
        <f>IF((163-VLOOKUP($T29,NL[[NL]:[L]],2,FALSE)-VLOOKUP(V$19,NL[[NL]:[L]],3,FALSE))&lt;=(VLOOKUP($T29,NL[[NL]:[GR]],6,FALSE)+VLOOKUP(V$19,NL[[NL]:[GR]],6,FALSE))+1,163-VLOOKUP($T29,NL[[NL]:[L]],2,FALSE)-VLOOKUP(V$19,NL[[NL]:[L]],3,FALSE),"X")</f>
        <v>134</v>
      </c>
      <c r="W29" s="11">
        <f>IF((163-VLOOKUP($T29,NL[[NL]:[L]],2,FALSE)-VLOOKUP(W$19,NL[[NL]:[L]],3,FALSE))&lt;=(VLOOKUP($T29,NL[[NL]:[GR]],6,FALSE)+VLOOKUP(W$19,NL[[NL]:[GR]],6,FALSE))+1,163-VLOOKUP($T29,NL[[NL]:[L]],2,FALSE)-VLOOKUP(W$19,NL[[NL]:[L]],3,FALSE),"X")</f>
        <v>133</v>
      </c>
      <c r="X29" s="5">
        <f>IF((163-VLOOKUP($T29,NL[[NL]:[L]],2,FALSE)-VLOOKUP(X$19,NL[[NL]:[L]],3,FALSE))&lt;=(VLOOKUP($T29,NL[[NL]:[GR]],6,FALSE)+VLOOKUP(X$19,NL[[NL]:[GR]],6,FALSE))+1,163-VLOOKUP($T29,NL[[NL]:[L]],2,FALSE)-VLOOKUP(X$19,NL[[NL]:[L]],3,FALSE),"X")</f>
        <v>135</v>
      </c>
      <c r="Y29" s="1">
        <f>IF((163-VLOOKUP($T29,NL[[NL]:[L]],2,FALSE)-VLOOKUP(Y$19,NL[[NL]:[L]],3,FALSE))&lt;=(VLOOKUP($T29,NL[[NL]:[GR]],6,FALSE)+VLOOKUP(Y$19,NL[[NL]:[GR]],6,FALSE))+1,163-VLOOKUP($T29,NL[[NL]:[L]],2,FALSE)-VLOOKUP(Y$19,NL[[NL]:[L]],3,FALSE),"X")</f>
        <v>132</v>
      </c>
      <c r="Z29" s="11">
        <f>IF((163-VLOOKUP($T29,NL[[NL]:[L]],2,FALSE)-VLOOKUP(Z$19,NL[[NL]:[L]],3,FALSE))&lt;=(VLOOKUP($T29,NL[[NL]:[GR]],6,FALSE)+VLOOKUP(Z$19,NL[[NL]:[GR]],6,FALSE))+1,163-VLOOKUP($T29,NL[[NL]:[L]],2,FALSE)-VLOOKUP(Z$19,NL[[NL]:[L]],3,FALSE),"X")</f>
        <v>130</v>
      </c>
      <c r="AA29" s="1">
        <f>IF((163-VLOOKUP($T29,NL[[NL]:[L]],2,FALSE)-VLOOKUP(AA$19,NL[[NL]:[L]],3,FALSE))&lt;=(VLOOKUP($T29,NL[[NL]:[GR]],6,FALSE)+VLOOKUP(AA$19,NL[[NL]:[GR]],6,FALSE))+1,163-VLOOKUP($T29,NL[[NL]:[L]],2,FALSE)-VLOOKUP(AA$19,NL[[NL]:[L]],3,FALSE),"X")</f>
        <v>129</v>
      </c>
      <c r="AB29" s="1">
        <f>IF((163-VLOOKUP($T29,NL[[NL]:[L]],2,FALSE)-VLOOKUP(AB$19,NL[[NL]:[L]],3,FALSE))&lt;=(VLOOKUP($T29,NL[[NL]:[GR]],6,FALSE)+VLOOKUP(AB$19,NL[[NL]:[GR]],6,FALSE))+1,163-VLOOKUP($T29,NL[[NL]:[L]],2,FALSE)-VLOOKUP(AB$19,NL[[NL]:[L]],3,FALSE),"X")</f>
        <v>127</v>
      </c>
      <c r="AC29" s="1">
        <f>IF((163-VLOOKUP($T29,NL[[NL]:[L]],2,FALSE)-VLOOKUP(AC$19,NL[[NL]:[L]],3,FALSE))&lt;=(VLOOKUP($T29,NL[[NL]:[GR]],6,FALSE)+VLOOKUP(AC$19,NL[[NL]:[GR]],6,FALSE))+1,163-VLOOKUP($T29,NL[[NL]:[L]],2,FALSE)-VLOOKUP(AC$19,NL[[NL]:[L]],3,FALSE),"X")</f>
        <v>127</v>
      </c>
      <c r="AD29" s="1"/>
      <c r="AE29" s="1">
        <f>IF(163-VLOOKUP($T29,NL[[NL]:[L]],2,FALSE)-VLOOKUP(AE$19,NL[[NL]:[L]],3,FALSE)&gt;0,163-VLOOKUP($T29,NL[[NL]:[L]],2,FALSE)-VLOOKUP(AE$19,NL[[NL]:[L]],3,FALSE),"W")</f>
        <v>127</v>
      </c>
      <c r="AF29" s="1">
        <f>IF(163-VLOOKUP($T29,NL[[NL]:[L]],2,FALSE)-VLOOKUP(AF$19,NL[[NL]:[L]],3,FALSE)&gt;0,163-VLOOKUP($T29,NL[[NL]:[L]],2,FALSE)-VLOOKUP(AF$19,NL[[NL]:[L]],3,FALSE),"W")</f>
        <v>126</v>
      </c>
      <c r="AG29" s="1">
        <f>IF(163-VLOOKUP($T29,NL[[NL]:[L]],2,FALSE)-VLOOKUP(AG$19,NL[[NL]:[L]],3,FALSE)&gt;0,163-VLOOKUP($T29,NL[[NL]:[L]],2,FALSE)-VLOOKUP(AG$19,NL[[NL]:[L]],3,FALSE),"W")</f>
        <v>126</v>
      </c>
      <c r="AH29" s="1">
        <f>IF(163-VLOOKUP($T29,NL[[NL]:[L]],2,FALSE)-VLOOKUP(AH$19,NL[[NL]:[L]],3,FALSE)&gt;0,163-VLOOKUP($T29,NL[[NL]:[L]],2,FALSE)-VLOOKUP(AH$19,NL[[NL]:[L]],3,FALSE),"W")</f>
        <v>119</v>
      </c>
      <c r="AI29" s="11">
        <f>IF(163-VLOOKUP($T29,NL[[NL]:[L]],2,FALSE)-VLOOKUP(AI$19,NL[[NL]:[L]],3,FALSE)&gt;0,163-VLOOKUP($T29,NL[[NL]:[L]],2,FALSE)-VLOOKUP(AI$19,NL[[NL]:[L]],3,FALSE),"W")</f>
        <v>120</v>
      </c>
      <c r="AJ29" s="1" t="str">
        <f>IF(OR(Z29&lt;&gt;"X",163-_xlfn.MAXIFS(NL[W],NL[Division],VLOOKUP(T29,NL[],8,FALSE))-VLOOKUP(T29,NL[],3,FALSE)&gt;0),"","X")</f>
        <v/>
      </c>
      <c r="AK29" t="str">
        <f t="shared" si="1"/>
        <v/>
      </c>
    </row>
    <row r="30" spans="2:37" x14ac:dyDescent="0.35">
      <c r="B30" t="s">
        <v>28</v>
      </c>
      <c r="C30">
        <f>VLOOKUP(NL[[#This Row],[NL]],simOutput[],2,0)</f>
        <v>16</v>
      </c>
      <c r="D30">
        <f>VLOOKUP(NL[[#This Row],[NL]],simOutput[],3,0)</f>
        <v>20</v>
      </c>
      <c r="E30" s="8">
        <f>(NL[[#This Row],[W]]/NL[[#This Row],[GP]])-NL[[#This Row],[Tiebreak]]/100000</f>
        <v>0.44417444444444443</v>
      </c>
      <c r="F30">
        <f>NL[[#This Row],[W]]+NL[[#This Row],[L]]</f>
        <v>36</v>
      </c>
      <c r="G30">
        <f>162-NL[[#This Row],[GP]]</f>
        <v>126</v>
      </c>
      <c r="H30">
        <f>IF(NL[[#This Row],[%]]=_xlfn.MAXIFS(NL[%],NL[Division],NL[[#This Row],[Division]]),"Div. Lead",RANK(NL[[#This Row],[%]],NL[%]))</f>
        <v>11</v>
      </c>
      <c r="I30" t="s">
        <v>47</v>
      </c>
      <c r="J30">
        <f>VLOOKUP(NL[[#This Row],[NL]],Table_0[],18,0)</f>
        <v>27</v>
      </c>
      <c r="K30" s="25">
        <f>VLOOKUP(NL[[#This Row],[NL]],simOutput[],5,0)</f>
        <v>11</v>
      </c>
      <c r="L30" s="25">
        <f>VLOOKUP(NL[[#This Row],[NL]],Table_0[],12,0)</f>
        <v>11</v>
      </c>
      <c r="M30" s="24">
        <f>VLOOKUP(NL[[#This Row],[NL]],simOutput[],4,0)</f>
        <v>0.25616000000017353</v>
      </c>
      <c r="N30" s="28" t="str">
        <f>IF((NL[[#This Row],[Rdiff-Sim]]-NL[[#This Row],[Rdiff-MLB]])=0,"","ERROR")</f>
        <v/>
      </c>
      <c r="S30" s="9">
        <v>11</v>
      </c>
      <c r="T30" s="5" t="str" cm="1">
        <f t="array" ref="T30">INDEX(NL[NL],MATCH(SMALL(NL[WC Rank],S30-3),NL[WC Rank],0),0)</f>
        <v>ARI</v>
      </c>
      <c r="U30" s="5">
        <f>IF((163-VLOOKUP($T30,NL[[NL]:[L]],2,FALSE)-VLOOKUP(U$19,NL[[NL]:[L]],3,FALSE))&lt;=(VLOOKUP($T30,NL[[NL]:[GR]],6,FALSE)+VLOOKUP(U$19,NL[[NL]:[GR]],6,FALSE))+1,163-VLOOKUP($T30,NL[[NL]:[L]],2,FALSE)-VLOOKUP(U$19,NL[[NL]:[L]],3,FALSE),"X")</f>
        <v>136</v>
      </c>
      <c r="V30" s="1">
        <f>IF((163-VLOOKUP($T30,NL[[NL]:[L]],2,FALSE)-VLOOKUP(V$19,NL[[NL]:[L]],3,FALSE))&lt;=(VLOOKUP($T30,NL[[NL]:[GR]],6,FALSE)+VLOOKUP(V$19,NL[[NL]:[GR]],6,FALSE))+1,163-VLOOKUP($T30,NL[[NL]:[L]],2,FALSE)-VLOOKUP(V$19,NL[[NL]:[L]],3,FALSE),"X")</f>
        <v>134</v>
      </c>
      <c r="W30" s="11">
        <f>IF((163-VLOOKUP($T30,NL[[NL]:[L]],2,FALSE)-VLOOKUP(W$19,NL[[NL]:[L]],3,FALSE))&lt;=(VLOOKUP($T30,NL[[NL]:[GR]],6,FALSE)+VLOOKUP(W$19,NL[[NL]:[GR]],6,FALSE))+1,163-VLOOKUP($T30,NL[[NL]:[L]],2,FALSE)-VLOOKUP(W$19,NL[[NL]:[L]],3,FALSE),"X")</f>
        <v>133</v>
      </c>
      <c r="X30" s="5">
        <f>IF((163-VLOOKUP($T30,NL[[NL]:[L]],2,FALSE)-VLOOKUP(X$19,NL[[NL]:[L]],3,FALSE))&lt;=(VLOOKUP($T30,NL[[NL]:[GR]],6,FALSE)+VLOOKUP(X$19,NL[[NL]:[GR]],6,FALSE))+1,163-VLOOKUP($T30,NL[[NL]:[L]],2,FALSE)-VLOOKUP(X$19,NL[[NL]:[L]],3,FALSE),"X")</f>
        <v>135</v>
      </c>
      <c r="Y30" s="1">
        <f>IF((163-VLOOKUP($T30,NL[[NL]:[L]],2,FALSE)-VLOOKUP(Y$19,NL[[NL]:[L]],3,FALSE))&lt;=(VLOOKUP($T30,NL[[NL]:[GR]],6,FALSE)+VLOOKUP(Y$19,NL[[NL]:[GR]],6,FALSE))+1,163-VLOOKUP($T30,NL[[NL]:[L]],2,FALSE)-VLOOKUP(Y$19,NL[[NL]:[L]],3,FALSE),"X")</f>
        <v>132</v>
      </c>
      <c r="Z30" s="11">
        <f>IF((163-VLOOKUP($T30,NL[[NL]:[L]],2,FALSE)-VLOOKUP(Z$19,NL[[NL]:[L]],3,FALSE))&lt;=(VLOOKUP($T30,NL[[NL]:[GR]],6,FALSE)+VLOOKUP(Z$19,NL[[NL]:[GR]],6,FALSE))+1,163-VLOOKUP($T30,NL[[NL]:[L]],2,FALSE)-VLOOKUP(Z$19,NL[[NL]:[L]],3,FALSE),"X")</f>
        <v>130</v>
      </c>
      <c r="AA30" s="1">
        <f>IF((163-VLOOKUP($T30,NL[[NL]:[L]],2,FALSE)-VLOOKUP(AA$19,NL[[NL]:[L]],3,FALSE))&lt;=(VLOOKUP($T30,NL[[NL]:[GR]],6,FALSE)+VLOOKUP(AA$19,NL[[NL]:[GR]],6,FALSE))+1,163-VLOOKUP($T30,NL[[NL]:[L]],2,FALSE)-VLOOKUP(AA$19,NL[[NL]:[L]],3,FALSE),"X")</f>
        <v>129</v>
      </c>
      <c r="AB30" s="1">
        <f>IF((163-VLOOKUP($T30,NL[[NL]:[L]],2,FALSE)-VLOOKUP(AB$19,NL[[NL]:[L]],3,FALSE))&lt;=(VLOOKUP($T30,NL[[NL]:[GR]],6,FALSE)+VLOOKUP(AB$19,NL[[NL]:[GR]],6,FALSE))+1,163-VLOOKUP($T30,NL[[NL]:[L]],2,FALSE)-VLOOKUP(AB$19,NL[[NL]:[L]],3,FALSE),"X")</f>
        <v>127</v>
      </c>
      <c r="AC30" s="1">
        <f>IF((163-VLOOKUP($T30,NL[[NL]:[L]],2,FALSE)-VLOOKUP(AC$19,NL[[NL]:[L]],3,FALSE))&lt;=(VLOOKUP($T30,NL[[NL]:[GR]],6,FALSE)+VLOOKUP(AC$19,NL[[NL]:[GR]],6,FALSE))+1,163-VLOOKUP($T30,NL[[NL]:[L]],2,FALSE)-VLOOKUP(AC$19,NL[[NL]:[L]],3,FALSE),"X")</f>
        <v>127</v>
      </c>
      <c r="AD30" s="1">
        <f>IF((163-VLOOKUP($T30,NL[[NL]:[L]],2,FALSE)-VLOOKUP(AD$19,NL[[NL]:[L]],3,FALSE))&lt;=(VLOOKUP($T30,NL[[NL]:[GR]],6,FALSE)+VLOOKUP(AD$19,NL[[NL]:[GR]],6,FALSE))+1,163-VLOOKUP($T30,NL[[NL]:[L]],2,FALSE)-VLOOKUP(AD$19,NL[[NL]:[L]],3,FALSE),"X")</f>
        <v>128</v>
      </c>
      <c r="AE30" s="1"/>
      <c r="AF30" s="1">
        <f>IF(163-VLOOKUP($T30,NL[[NL]:[L]],2,FALSE)-VLOOKUP(AF$19,NL[[NL]:[L]],3,FALSE)&gt;0,163-VLOOKUP($T30,NL[[NL]:[L]],2,FALSE)-VLOOKUP(AF$19,NL[[NL]:[L]],3,FALSE),"W")</f>
        <v>126</v>
      </c>
      <c r="AG30" s="1">
        <f>IF(163-VLOOKUP($T30,NL[[NL]:[L]],2,FALSE)-VLOOKUP(AG$19,NL[[NL]:[L]],3,FALSE)&gt;0,163-VLOOKUP($T30,NL[[NL]:[L]],2,FALSE)-VLOOKUP(AG$19,NL[[NL]:[L]],3,FALSE),"W")</f>
        <v>126</v>
      </c>
      <c r="AH30" s="1">
        <f>IF(163-VLOOKUP($T30,NL[[NL]:[L]],2,FALSE)-VLOOKUP(AH$19,NL[[NL]:[L]],3,FALSE)&gt;0,163-VLOOKUP($T30,NL[[NL]:[L]],2,FALSE)-VLOOKUP(AH$19,NL[[NL]:[L]],3,FALSE),"W")</f>
        <v>119</v>
      </c>
      <c r="AI30" s="11">
        <f>IF(163-VLOOKUP($T30,NL[[NL]:[L]],2,FALSE)-VLOOKUP(AI$19,NL[[NL]:[L]],3,FALSE)&gt;0,163-VLOOKUP($T30,NL[[NL]:[L]],2,FALSE)-VLOOKUP(AI$19,NL[[NL]:[L]],3,FALSE),"W")</f>
        <v>120</v>
      </c>
      <c r="AJ30" s="1" t="str">
        <f>IF(OR(Z30&lt;&gt;"X",163-_xlfn.MAXIFS(NL[W],NL[Division],VLOOKUP(T30,NL[],8,FALSE))-VLOOKUP(T30,NL[],3,FALSE)&gt;0),"","X")</f>
        <v/>
      </c>
      <c r="AK30" t="str">
        <f t="shared" si="1"/>
        <v/>
      </c>
    </row>
    <row r="31" spans="2:37" x14ac:dyDescent="0.35">
      <c r="B31" t="s">
        <v>54</v>
      </c>
      <c r="C31">
        <f>VLOOKUP(NL[[#This Row],[NL]],simOutput[],2,0)</f>
        <v>16</v>
      </c>
      <c r="D31">
        <f>VLOOKUP(NL[[#This Row],[NL]],simOutput[],3,0)</f>
        <v>21</v>
      </c>
      <c r="E31" s="8">
        <f>(NL[[#This Row],[W]]/NL[[#This Row],[GP]])-NL[[#This Row],[Tiebreak]]/100000</f>
        <v>0.43215243243243245</v>
      </c>
      <c r="F31">
        <f>NL[[#This Row],[W]]+NL[[#This Row],[L]]</f>
        <v>37</v>
      </c>
      <c r="G31">
        <f>162-NL[[#This Row],[GP]]</f>
        <v>125</v>
      </c>
      <c r="H31">
        <f>IF(NL[[#This Row],[%]]=_xlfn.MAXIFS(NL[%],NL[Division],NL[[#This Row],[Division]]),"Div. Lead",RANK(NL[[#This Row],[%]],NL[%]))</f>
        <v>12</v>
      </c>
      <c r="I31" t="s">
        <v>47</v>
      </c>
      <c r="J31">
        <f>VLOOKUP(NL[[#This Row],[NL]],Table_0[],18,0)</f>
        <v>28</v>
      </c>
      <c r="K31" s="25">
        <f>VLOOKUP(NL[[#This Row],[NL]],simOutput[],5,0)</f>
        <v>-36</v>
      </c>
      <c r="L31" s="25">
        <f>VLOOKUP(NL[[#This Row],[NL]],Table_0[],12,0)</f>
        <v>-36</v>
      </c>
      <c r="M31" s="24">
        <f>VLOOKUP(NL[[#This Row],[NL]],simOutput[],4,0)</f>
        <v>0.14208800000005947</v>
      </c>
      <c r="N31" s="28" t="str">
        <f>IF((NL[[#This Row],[Rdiff-Sim]]-NL[[#This Row],[Rdiff-MLB]])=0,"","ERROR")</f>
        <v/>
      </c>
      <c r="S31" s="9">
        <v>12</v>
      </c>
      <c r="T31" s="5" t="str" cm="1">
        <f t="array" ref="T31">INDEX(NL[NL],MATCH(SMALL(NL[WC Rank],S31-3),NL[WC Rank],0),0)</f>
        <v>SFG</v>
      </c>
      <c r="U31" s="5">
        <f>IF((163-VLOOKUP($T31,NL[[NL]:[L]],2,FALSE)-VLOOKUP(U$19,NL[[NL]:[L]],3,FALSE))&lt;=(VLOOKUP($T31,NL[[NL]:[GR]],6,FALSE)+VLOOKUP(U$19,NL[[NL]:[GR]],6,FALSE))+1,163-VLOOKUP($T31,NL[[NL]:[L]],2,FALSE)-VLOOKUP(U$19,NL[[NL]:[L]],3,FALSE),"X")</f>
        <v>136</v>
      </c>
      <c r="V31" s="1">
        <f>IF((163-VLOOKUP($T31,NL[[NL]:[L]],2,FALSE)-VLOOKUP(V$19,NL[[NL]:[L]],3,FALSE))&lt;=(VLOOKUP($T31,NL[[NL]:[GR]],6,FALSE)+VLOOKUP(V$19,NL[[NL]:[GR]],6,FALSE))+1,163-VLOOKUP($T31,NL[[NL]:[L]],2,FALSE)-VLOOKUP(V$19,NL[[NL]:[L]],3,FALSE),"X")</f>
        <v>134</v>
      </c>
      <c r="W31" s="11">
        <f>IF((163-VLOOKUP($T31,NL[[NL]:[L]],2,FALSE)-VLOOKUP(W$19,NL[[NL]:[L]],3,FALSE))&lt;=(VLOOKUP($T31,NL[[NL]:[GR]],6,FALSE)+VLOOKUP(W$19,NL[[NL]:[GR]],6,FALSE))+1,163-VLOOKUP($T31,NL[[NL]:[L]],2,FALSE)-VLOOKUP(W$19,NL[[NL]:[L]],3,FALSE),"X")</f>
        <v>133</v>
      </c>
      <c r="X31" s="5">
        <f>IF((163-VLOOKUP($T31,NL[[NL]:[L]],2,FALSE)-VLOOKUP(X$19,NL[[NL]:[L]],3,FALSE))&lt;=(VLOOKUP($T31,NL[[NL]:[GR]],6,FALSE)+VLOOKUP(X$19,NL[[NL]:[GR]],6,FALSE))+1,163-VLOOKUP($T31,NL[[NL]:[L]],2,FALSE)-VLOOKUP(X$19,NL[[NL]:[L]],3,FALSE),"X")</f>
        <v>135</v>
      </c>
      <c r="Y31" s="1">
        <f>IF((163-VLOOKUP($T31,NL[[NL]:[L]],2,FALSE)-VLOOKUP(Y$19,NL[[NL]:[L]],3,FALSE))&lt;=(VLOOKUP($T31,NL[[NL]:[GR]],6,FALSE)+VLOOKUP(Y$19,NL[[NL]:[GR]],6,FALSE))+1,163-VLOOKUP($T31,NL[[NL]:[L]],2,FALSE)-VLOOKUP(Y$19,NL[[NL]:[L]],3,FALSE),"X")</f>
        <v>132</v>
      </c>
      <c r="Z31" s="11">
        <f>IF((163-VLOOKUP($T31,NL[[NL]:[L]],2,FALSE)-VLOOKUP(Z$19,NL[[NL]:[L]],3,FALSE))&lt;=(VLOOKUP($T31,NL[[NL]:[GR]],6,FALSE)+VLOOKUP(Z$19,NL[[NL]:[GR]],6,FALSE))+1,163-VLOOKUP($T31,NL[[NL]:[L]],2,FALSE)-VLOOKUP(Z$19,NL[[NL]:[L]],3,FALSE),"X")</f>
        <v>130</v>
      </c>
      <c r="AA31" s="1">
        <f>IF((163-VLOOKUP($T31,NL[[NL]:[L]],2,FALSE)-VLOOKUP(AA$19,NL[[NL]:[L]],3,FALSE))&lt;=(VLOOKUP($T31,NL[[NL]:[GR]],6,FALSE)+VLOOKUP(AA$19,NL[[NL]:[GR]],6,FALSE))+1,163-VLOOKUP($T31,NL[[NL]:[L]],2,FALSE)-VLOOKUP(AA$19,NL[[NL]:[L]],3,FALSE),"X")</f>
        <v>129</v>
      </c>
      <c r="AB31" s="1">
        <f>IF((163-VLOOKUP($T31,NL[[NL]:[L]],2,FALSE)-VLOOKUP(AB$19,NL[[NL]:[L]],3,FALSE))&lt;=(VLOOKUP($T31,NL[[NL]:[GR]],6,FALSE)+VLOOKUP(AB$19,NL[[NL]:[GR]],6,FALSE))+1,163-VLOOKUP($T31,NL[[NL]:[L]],2,FALSE)-VLOOKUP(AB$19,NL[[NL]:[L]],3,FALSE),"X")</f>
        <v>127</v>
      </c>
      <c r="AC31" s="1">
        <f>IF((163-VLOOKUP($T31,NL[[NL]:[L]],2,FALSE)-VLOOKUP(AC$19,NL[[NL]:[L]],3,FALSE))&lt;=(VLOOKUP($T31,NL[[NL]:[GR]],6,FALSE)+VLOOKUP(AC$19,NL[[NL]:[GR]],6,FALSE))+1,163-VLOOKUP($T31,NL[[NL]:[L]],2,FALSE)-VLOOKUP(AC$19,NL[[NL]:[L]],3,FALSE),"X")</f>
        <v>127</v>
      </c>
      <c r="AD31" s="1">
        <f>IF((163-VLOOKUP($T31,NL[[NL]:[L]],2,FALSE)-VLOOKUP(AD$19,NL[[NL]:[L]],3,FALSE))&lt;=(VLOOKUP($T31,NL[[NL]:[GR]],6,FALSE)+VLOOKUP(AD$19,NL[[NL]:[GR]],6,FALSE))+1,163-VLOOKUP($T31,NL[[NL]:[L]],2,FALSE)-VLOOKUP(AD$19,NL[[NL]:[L]],3,FALSE),"X")</f>
        <v>128</v>
      </c>
      <c r="AE31" s="1">
        <f>IF((163-VLOOKUP($T31,NL[[NL]:[L]],2,FALSE)-VLOOKUP(AE$19,NL[[NL]:[L]],3,FALSE))&lt;=(VLOOKUP($T31,NL[[NL]:[GR]],6,FALSE)+VLOOKUP(AE$19,NL[[NL]:[GR]],6,FALSE))+1,163-VLOOKUP($T31,NL[[NL]:[L]],2,FALSE)-VLOOKUP(AE$19,NL[[NL]:[L]],3,FALSE),"X")</f>
        <v>127</v>
      </c>
      <c r="AF31" s="1"/>
      <c r="AG31" s="1">
        <f>IF(163-VLOOKUP($T31,NL[[NL]:[L]],2,FALSE)-VLOOKUP(AG$19,NL[[NL]:[L]],3,FALSE)&gt;0,163-VLOOKUP($T31,NL[[NL]:[L]],2,FALSE)-VLOOKUP(AG$19,NL[[NL]:[L]],3,FALSE),"W")</f>
        <v>126</v>
      </c>
      <c r="AH31" s="1">
        <f>IF(163-VLOOKUP($T31,NL[[NL]:[L]],2,FALSE)-VLOOKUP(AH$19,NL[[NL]:[L]],3,FALSE)&gt;0,163-VLOOKUP($T31,NL[[NL]:[L]],2,FALSE)-VLOOKUP(AH$19,NL[[NL]:[L]],3,FALSE),"W")</f>
        <v>119</v>
      </c>
      <c r="AI31" s="11">
        <f>IF(163-VLOOKUP($T31,NL[[NL]:[L]],2,FALSE)-VLOOKUP(AI$19,NL[[NL]:[L]],3,FALSE)&gt;0,163-VLOOKUP($T31,NL[[NL]:[L]],2,FALSE)-VLOOKUP(AI$19,NL[[NL]:[L]],3,FALSE),"W")</f>
        <v>120</v>
      </c>
      <c r="AJ31" s="1" t="str">
        <f>IF(OR(Z31&lt;&gt;"X",163-_xlfn.MAXIFS(NL[W],NL[Division],VLOOKUP(T31,NL[],8,FALSE))-VLOOKUP(T31,NL[],3,FALSE)&gt;0),"","X")</f>
        <v/>
      </c>
      <c r="AK31" t="str">
        <f t="shared" si="1"/>
        <v/>
      </c>
    </row>
    <row r="32" spans="2:37" x14ac:dyDescent="0.35">
      <c r="B32" t="s">
        <v>34</v>
      </c>
      <c r="C32">
        <f>VLOOKUP(NL[[#This Row],[NL]],simOutput[],2,0)</f>
        <v>15</v>
      </c>
      <c r="D32">
        <f>VLOOKUP(NL[[#This Row],[NL]],simOutput[],3,0)</f>
        <v>21</v>
      </c>
      <c r="E32" s="8">
        <f>(NL[[#This Row],[W]]/NL[[#This Row],[GP]])-NL[[#This Row],[Tiebreak]]/100000</f>
        <v>0.41637666666666667</v>
      </c>
      <c r="F32">
        <f>NL[[#This Row],[W]]+NL[[#This Row],[L]]</f>
        <v>36</v>
      </c>
      <c r="G32">
        <f>162-NL[[#This Row],[GP]]</f>
        <v>126</v>
      </c>
      <c r="H32">
        <f>IF(NL[[#This Row],[%]]=_xlfn.MAXIFS(NL[%],NL[Division],NL[[#This Row],[Division]]),"Div. Lead",RANK(NL[[#This Row],[%]],NL[%]))</f>
        <v>13</v>
      </c>
      <c r="I32" t="s">
        <v>46</v>
      </c>
      <c r="J32">
        <f>VLOOKUP(NL[[#This Row],[NL]],Table_0[],18,0)</f>
        <v>29</v>
      </c>
      <c r="K32" s="25">
        <f>VLOOKUP(NL[[#This Row],[NL]],simOutput[],5,0)</f>
        <v>-35</v>
      </c>
      <c r="L32" s="25">
        <f>VLOOKUP(NL[[#This Row],[NL]],Table_0[],12,0)</f>
        <v>-35</v>
      </c>
      <c r="M32" s="24">
        <f>VLOOKUP(NL[[#This Row],[NL]],simOutput[],4,0)</f>
        <v>0.11944000000003684</v>
      </c>
      <c r="N32" s="28" t="str">
        <f>IF((NL[[#This Row],[Rdiff-Sim]]-NL[[#This Row],[Rdiff-MLB]])=0,"","ERROR")</f>
        <v/>
      </c>
      <c r="S32" s="9">
        <v>13</v>
      </c>
      <c r="T32" s="5" t="str" cm="1">
        <f t="array" ref="T32">INDEX(NL[NL],MATCH(SMALL(NL[WC Rank],S32-3),NL[WC Rank],0),0)</f>
        <v>STL</v>
      </c>
      <c r="U32" s="5">
        <f>IF((163-VLOOKUP($T32,NL[[NL]:[L]],2,FALSE)-VLOOKUP(U$19,NL[[NL]:[L]],3,FALSE))&lt;=(VLOOKUP($T32,NL[[NL]:[GR]],6,FALSE)+VLOOKUP(U$19,NL[[NL]:[GR]],6,FALSE))+1,163-VLOOKUP($T32,NL[[NL]:[L]],2,FALSE)-VLOOKUP(U$19,NL[[NL]:[L]],3,FALSE),"X")</f>
        <v>137</v>
      </c>
      <c r="V32" s="1">
        <f>IF((163-VLOOKUP($T32,NL[[NL]:[L]],2,FALSE)-VLOOKUP(V$19,NL[[NL]:[L]],3,FALSE))&lt;=(VLOOKUP($T32,NL[[NL]:[GR]],6,FALSE)+VLOOKUP(V$19,NL[[NL]:[GR]],6,FALSE))+1,163-VLOOKUP($T32,NL[[NL]:[L]],2,FALSE)-VLOOKUP(V$19,NL[[NL]:[L]],3,FALSE),"X")</f>
        <v>135</v>
      </c>
      <c r="W32" s="11">
        <f>IF((163-VLOOKUP($T32,NL[[NL]:[L]],2,FALSE)-VLOOKUP(W$19,NL[[NL]:[L]],3,FALSE))&lt;=(VLOOKUP($T32,NL[[NL]:[GR]],6,FALSE)+VLOOKUP(W$19,NL[[NL]:[GR]],6,FALSE))+1,163-VLOOKUP($T32,NL[[NL]:[L]],2,FALSE)-VLOOKUP(W$19,NL[[NL]:[L]],3,FALSE),"X")</f>
        <v>134</v>
      </c>
      <c r="X32" s="5">
        <f>IF((163-VLOOKUP($T32,NL[[NL]:[L]],2,FALSE)-VLOOKUP(X$19,NL[[NL]:[L]],3,FALSE))&lt;=(VLOOKUP($T32,NL[[NL]:[GR]],6,FALSE)+VLOOKUP(X$19,NL[[NL]:[GR]],6,FALSE))+1,163-VLOOKUP($T32,NL[[NL]:[L]],2,FALSE)-VLOOKUP(X$19,NL[[NL]:[L]],3,FALSE),"X")</f>
        <v>136</v>
      </c>
      <c r="Y32" s="1">
        <f>IF((163-VLOOKUP($T32,NL[[NL]:[L]],2,FALSE)-VLOOKUP(Y$19,NL[[NL]:[L]],3,FALSE))&lt;=(VLOOKUP($T32,NL[[NL]:[GR]],6,FALSE)+VLOOKUP(Y$19,NL[[NL]:[GR]],6,FALSE))+1,163-VLOOKUP($T32,NL[[NL]:[L]],2,FALSE)-VLOOKUP(Y$19,NL[[NL]:[L]],3,FALSE),"X")</f>
        <v>133</v>
      </c>
      <c r="Z32" s="11">
        <f>IF((163-VLOOKUP($T32,NL[[NL]:[L]],2,FALSE)-VLOOKUP(Z$19,NL[[NL]:[L]],3,FALSE))&lt;=(VLOOKUP($T32,NL[[NL]:[GR]],6,FALSE)+VLOOKUP(Z$19,NL[[NL]:[GR]],6,FALSE))+1,163-VLOOKUP($T32,NL[[NL]:[L]],2,FALSE)-VLOOKUP(Z$19,NL[[NL]:[L]],3,FALSE),"X")</f>
        <v>131</v>
      </c>
      <c r="AA32" s="1">
        <f>IF((163-VLOOKUP($T32,NL[[NL]:[L]],2,FALSE)-VLOOKUP(AA$19,NL[[NL]:[L]],3,FALSE))&lt;=(VLOOKUP($T32,NL[[NL]:[GR]],6,FALSE)+VLOOKUP(AA$19,NL[[NL]:[GR]],6,FALSE))+1,163-VLOOKUP($T32,NL[[NL]:[L]],2,FALSE)-VLOOKUP(AA$19,NL[[NL]:[L]],3,FALSE),"X")</f>
        <v>130</v>
      </c>
      <c r="AB32" s="1">
        <f>IF((163-VLOOKUP($T32,NL[[NL]:[L]],2,FALSE)-VLOOKUP(AB$19,NL[[NL]:[L]],3,FALSE))&lt;=(VLOOKUP($T32,NL[[NL]:[GR]],6,FALSE)+VLOOKUP(AB$19,NL[[NL]:[GR]],6,FALSE))+1,163-VLOOKUP($T32,NL[[NL]:[L]],2,FALSE)-VLOOKUP(AB$19,NL[[NL]:[L]],3,FALSE),"X")</f>
        <v>128</v>
      </c>
      <c r="AC32" s="1">
        <f>IF((163-VLOOKUP($T32,NL[[NL]:[L]],2,FALSE)-VLOOKUP(AC$19,NL[[NL]:[L]],3,FALSE))&lt;=(VLOOKUP($T32,NL[[NL]:[GR]],6,FALSE)+VLOOKUP(AC$19,NL[[NL]:[GR]],6,FALSE))+1,163-VLOOKUP($T32,NL[[NL]:[L]],2,FALSE)-VLOOKUP(AC$19,NL[[NL]:[L]],3,FALSE),"X")</f>
        <v>128</v>
      </c>
      <c r="AD32" s="1">
        <f>IF((163-VLOOKUP($T32,NL[[NL]:[L]],2,FALSE)-VLOOKUP(AD$19,NL[[NL]:[L]],3,FALSE))&lt;=(VLOOKUP($T32,NL[[NL]:[GR]],6,FALSE)+VLOOKUP(AD$19,NL[[NL]:[GR]],6,FALSE))+1,163-VLOOKUP($T32,NL[[NL]:[L]],2,FALSE)-VLOOKUP(AD$19,NL[[NL]:[L]],3,FALSE),"X")</f>
        <v>129</v>
      </c>
      <c r="AE32" s="1">
        <f>IF((163-VLOOKUP($T32,NL[[NL]:[L]],2,FALSE)-VLOOKUP(AE$19,NL[[NL]:[L]],3,FALSE))&lt;=(VLOOKUP($T32,NL[[NL]:[GR]],6,FALSE)+VLOOKUP(AE$19,NL[[NL]:[GR]],6,FALSE))+1,163-VLOOKUP($T32,NL[[NL]:[L]],2,FALSE)-VLOOKUP(AE$19,NL[[NL]:[L]],3,FALSE),"X")</f>
        <v>128</v>
      </c>
      <c r="AF32" s="1">
        <f>IF((163-VLOOKUP($T32,NL[[NL]:[L]],2,FALSE)-VLOOKUP(AF$19,NL[[NL]:[L]],3,FALSE))&lt;=(VLOOKUP($T32,NL[[NL]:[GR]],6,FALSE)+VLOOKUP(AF$19,NL[[NL]:[GR]],6,FALSE))+1,163-VLOOKUP($T32,NL[[NL]:[L]],2,FALSE)-VLOOKUP(AF$19,NL[[NL]:[L]],3,FALSE),"X")</f>
        <v>127</v>
      </c>
      <c r="AG32" s="1"/>
      <c r="AH32" s="1">
        <f>IF(163-VLOOKUP($T32,NL[[NL]:[L]],2,FALSE)-VLOOKUP(AH$19,NL[[NL]:[L]],3,FALSE)&gt;0,163-VLOOKUP($T32,NL[[NL]:[L]],2,FALSE)-VLOOKUP(AH$19,NL[[NL]:[L]],3,FALSE),"W")</f>
        <v>120</v>
      </c>
      <c r="AI32" s="11">
        <f>IF(163-VLOOKUP($T32,NL[[NL]:[L]],2,FALSE)-VLOOKUP(AI$19,NL[[NL]:[L]],3,FALSE)&gt;0,163-VLOOKUP($T32,NL[[NL]:[L]],2,FALSE)-VLOOKUP(AI$19,NL[[NL]:[L]],3,FALSE),"W")</f>
        <v>121</v>
      </c>
      <c r="AJ32" s="1" t="str">
        <f>IF(OR(Z32&lt;&gt;"X",163-_xlfn.MAXIFS(NL[W],NL[Division],VLOOKUP(T32,NL[],8,FALSE))-VLOOKUP(T32,NL[],3,FALSE)&gt;0),"","X")</f>
        <v/>
      </c>
      <c r="AK32" t="str">
        <f t="shared" si="1"/>
        <v/>
      </c>
    </row>
    <row r="33" spans="2:37" x14ac:dyDescent="0.35">
      <c r="B33" t="s">
        <v>25</v>
      </c>
      <c r="C33">
        <f>VLOOKUP(NL[[#This Row],[NL]],simOutput[],2,0)</f>
        <v>10</v>
      </c>
      <c r="D33">
        <f>VLOOKUP(NL[[#This Row],[NL]],simOutput[],3,0)</f>
        <v>28</v>
      </c>
      <c r="E33" s="8">
        <f>(NL[[#This Row],[W]]/NL[[#This Row],[GP]])-NL[[#This Row],[Tiebreak]]/100000</f>
        <v>0.26285789473684207</v>
      </c>
      <c r="F33">
        <f>NL[[#This Row],[W]]+NL[[#This Row],[L]]</f>
        <v>38</v>
      </c>
      <c r="G33">
        <f>162-NL[[#This Row],[GP]]</f>
        <v>124</v>
      </c>
      <c r="H33">
        <f>IF(NL[[#This Row],[%]]=_xlfn.MAXIFS(NL[%],NL[Division],NL[[#This Row],[Division]]),"Div. Lead",RANK(NL[[#This Row],[%]],NL[%]))</f>
        <v>14</v>
      </c>
      <c r="I33" t="s">
        <v>45</v>
      </c>
      <c r="J33">
        <f>VLOOKUP(NL[[#This Row],[NL]],Table_0[],18,0)</f>
        <v>30</v>
      </c>
      <c r="K33" s="25">
        <f>VLOOKUP(NL[[#This Row],[NL]],simOutput[],5,0)</f>
        <v>-77</v>
      </c>
      <c r="L33" s="25">
        <f>VLOOKUP(NL[[#This Row],[NL]],Table_0[],12,0)</f>
        <v>-77</v>
      </c>
      <c r="M33" s="24">
        <f>VLOOKUP(NL[[#This Row],[NL]],simOutput[],4,0)</f>
        <v>7.6159999999997566E-3</v>
      </c>
      <c r="N33" s="28" t="str">
        <f>IF((NL[[#This Row],[Rdiff-Sim]]-NL[[#This Row],[Rdiff-MLB]])=0,"","ERROR")</f>
        <v/>
      </c>
      <c r="S33" s="9">
        <v>14</v>
      </c>
      <c r="T33" s="5" t="str" cm="1">
        <f t="array" ref="T33">INDEX(NL[NL],MATCH(SMALL(NL[WC Rank],S33-3),NL[WC Rank],0),0)</f>
        <v>MIA</v>
      </c>
      <c r="U33" s="5">
        <f>IF((163-VLOOKUP($T33,NL[[NL]:[L]],2,FALSE)-VLOOKUP(U$19,NL[[NL]:[L]],3,FALSE))&lt;=(VLOOKUP($T33,NL[[NL]:[GR]],6,FALSE)+VLOOKUP(U$19,NL[[NL]:[GR]],6,FALSE))+1,163-VLOOKUP($T33,NL[[NL]:[L]],2,FALSE)-VLOOKUP(U$19,NL[[NL]:[L]],3,FALSE),"X")</f>
        <v>142</v>
      </c>
      <c r="V33" s="1">
        <f>IF((163-VLOOKUP($T33,NL[[NL]:[L]],2,FALSE)-VLOOKUP(V$19,NL[[NL]:[L]],3,FALSE))&lt;=(VLOOKUP($T33,NL[[NL]:[GR]],6,FALSE)+VLOOKUP(V$19,NL[[NL]:[GR]],6,FALSE))+1,163-VLOOKUP($T33,NL[[NL]:[L]],2,FALSE)-VLOOKUP(V$19,NL[[NL]:[L]],3,FALSE),"X")</f>
        <v>140</v>
      </c>
      <c r="W33" s="11">
        <f>IF((163-VLOOKUP($T33,NL[[NL]:[L]],2,FALSE)-VLOOKUP(W$19,NL[[NL]:[L]],3,FALSE))&lt;=(VLOOKUP($T33,NL[[NL]:[GR]],6,FALSE)+VLOOKUP(W$19,NL[[NL]:[GR]],6,FALSE))+1,163-VLOOKUP($T33,NL[[NL]:[L]],2,FALSE)-VLOOKUP(W$19,NL[[NL]:[L]],3,FALSE),"X")</f>
        <v>139</v>
      </c>
      <c r="X33" s="5">
        <f>IF((163-VLOOKUP($T33,NL[[NL]:[L]],2,FALSE)-VLOOKUP(X$19,NL[[NL]:[L]],3,FALSE))&lt;=(VLOOKUP($T33,NL[[NL]:[GR]],6,FALSE)+VLOOKUP(X$19,NL[[NL]:[GR]],6,FALSE))+1,163-VLOOKUP($T33,NL[[NL]:[L]],2,FALSE)-VLOOKUP(X$19,NL[[NL]:[L]],3,FALSE),"X")</f>
        <v>141</v>
      </c>
      <c r="Y33" s="1">
        <f>IF((163-VLOOKUP($T33,NL[[NL]:[L]],2,FALSE)-VLOOKUP(Y$19,NL[[NL]:[L]],3,FALSE))&lt;=(VLOOKUP($T33,NL[[NL]:[GR]],6,FALSE)+VLOOKUP(Y$19,NL[[NL]:[GR]],6,FALSE))+1,163-VLOOKUP($T33,NL[[NL]:[L]],2,FALSE)-VLOOKUP(Y$19,NL[[NL]:[L]],3,FALSE),"X")</f>
        <v>138</v>
      </c>
      <c r="Z33" s="11">
        <f>IF((163-VLOOKUP($T33,NL[[NL]:[L]],2,FALSE)-VLOOKUP(Z$19,NL[[NL]:[L]],3,FALSE))&lt;=(VLOOKUP($T33,NL[[NL]:[GR]],6,FALSE)+VLOOKUP(Z$19,NL[[NL]:[GR]],6,FALSE))+1,163-VLOOKUP($T33,NL[[NL]:[L]],2,FALSE)-VLOOKUP(Z$19,NL[[NL]:[L]],3,FALSE),"X")</f>
        <v>136</v>
      </c>
      <c r="AA33" s="1">
        <f>IF((163-VLOOKUP($T33,NL[[NL]:[L]],2,FALSE)-VLOOKUP(AA$19,NL[[NL]:[L]],3,FALSE))&lt;=(VLOOKUP($T33,NL[[NL]:[GR]],6,FALSE)+VLOOKUP(AA$19,NL[[NL]:[GR]],6,FALSE))+1,163-VLOOKUP($T33,NL[[NL]:[L]],2,FALSE)-VLOOKUP(AA$19,NL[[NL]:[L]],3,FALSE),"X")</f>
        <v>135</v>
      </c>
      <c r="AB33" s="1">
        <f>IF((163-VLOOKUP($T33,NL[[NL]:[L]],2,FALSE)-VLOOKUP(AB$19,NL[[NL]:[L]],3,FALSE))&lt;=(VLOOKUP($T33,NL[[NL]:[GR]],6,FALSE)+VLOOKUP(AB$19,NL[[NL]:[GR]],6,FALSE))+1,163-VLOOKUP($T33,NL[[NL]:[L]],2,FALSE)-VLOOKUP(AB$19,NL[[NL]:[L]],3,FALSE),"X")</f>
        <v>133</v>
      </c>
      <c r="AC33" s="1">
        <f>IF((163-VLOOKUP($T33,NL[[NL]:[L]],2,FALSE)-VLOOKUP(AC$19,NL[[NL]:[L]],3,FALSE))&lt;=(VLOOKUP($T33,NL[[NL]:[GR]],6,FALSE)+VLOOKUP(AC$19,NL[[NL]:[GR]],6,FALSE))+1,163-VLOOKUP($T33,NL[[NL]:[L]],2,FALSE)-VLOOKUP(AC$19,NL[[NL]:[L]],3,FALSE),"X")</f>
        <v>133</v>
      </c>
      <c r="AD33" s="1">
        <f>IF((163-VLOOKUP($T33,NL[[NL]:[L]],2,FALSE)-VLOOKUP(AD$19,NL[[NL]:[L]],3,FALSE))&lt;=(VLOOKUP($T33,NL[[NL]:[GR]],6,FALSE)+VLOOKUP(AD$19,NL[[NL]:[GR]],6,FALSE))+1,163-VLOOKUP($T33,NL[[NL]:[L]],2,FALSE)-VLOOKUP(AD$19,NL[[NL]:[L]],3,FALSE),"X")</f>
        <v>134</v>
      </c>
      <c r="AE33" s="1">
        <f>IF((163-VLOOKUP($T33,NL[[NL]:[L]],2,FALSE)-VLOOKUP(AE$19,NL[[NL]:[L]],3,FALSE))&lt;=(VLOOKUP($T33,NL[[NL]:[GR]],6,FALSE)+VLOOKUP(AE$19,NL[[NL]:[GR]],6,FALSE))+1,163-VLOOKUP($T33,NL[[NL]:[L]],2,FALSE)-VLOOKUP(AE$19,NL[[NL]:[L]],3,FALSE),"X")</f>
        <v>133</v>
      </c>
      <c r="AF33" s="1">
        <f>IF((163-VLOOKUP($T33,NL[[NL]:[L]],2,FALSE)-VLOOKUP(AF$19,NL[[NL]:[L]],3,FALSE))&lt;=(VLOOKUP($T33,NL[[NL]:[GR]],6,FALSE)+VLOOKUP(AF$19,NL[[NL]:[GR]],6,FALSE))+1,163-VLOOKUP($T33,NL[[NL]:[L]],2,FALSE)-VLOOKUP(AF$19,NL[[NL]:[L]],3,FALSE),"X")</f>
        <v>132</v>
      </c>
      <c r="AG33" s="1">
        <f>IF((163-VLOOKUP($T33,NL[[NL]:[L]],2,FALSE)-VLOOKUP(AG$19,NL[[NL]:[L]],3,FALSE))&lt;=(VLOOKUP($T33,NL[[NL]:[GR]],6,FALSE)+VLOOKUP(AG$19,NL[[NL]:[GR]],6,FALSE))+1,163-VLOOKUP($T33,NL[[NL]:[L]],2,FALSE)-VLOOKUP(AG$19,NL[[NL]:[L]],3,FALSE),"X")</f>
        <v>132</v>
      </c>
      <c r="AH33" s="1"/>
      <c r="AI33" s="11">
        <f>IF(163-VLOOKUP($T33,NL[[NL]:[L]],2,FALSE)-VLOOKUP(AI$19,NL[[NL]:[L]],3,FALSE)&gt;0,163-VLOOKUP($T33,NL[[NL]:[L]],2,FALSE)-VLOOKUP(AI$19,NL[[NL]:[L]],3,FALSE),"W")</f>
        <v>126</v>
      </c>
      <c r="AJ33" s="1" t="str">
        <f>IF(OR(Z33&lt;&gt;"X",163-_xlfn.MAXIFS(NL[W],NL[Division],VLOOKUP(T33,NL[],8,FALSE))-VLOOKUP(T33,NL[],3,FALSE)&gt;0),"","X")</f>
        <v/>
      </c>
      <c r="AK33" t="str">
        <f t="shared" si="1"/>
        <v/>
      </c>
    </row>
    <row r="34" spans="2:37" ht="15" thickBot="1" x14ac:dyDescent="0.4">
      <c r="B34" t="s">
        <v>29</v>
      </c>
      <c r="C34">
        <f>VLOOKUP(NL[[#This Row],[NL]],simOutput[],2,0)</f>
        <v>8</v>
      </c>
      <c r="D34">
        <f>VLOOKUP(NL[[#This Row],[NL]],simOutput[],3,0)</f>
        <v>27</v>
      </c>
      <c r="E34" s="8">
        <f>(NL[[#This Row],[W]]/NL[[#This Row],[GP]])-NL[[#This Row],[Tiebreak]]/100000</f>
        <v>0.22826142857142856</v>
      </c>
      <c r="F34">
        <f>NL[[#This Row],[W]]+NL[[#This Row],[L]]</f>
        <v>35</v>
      </c>
      <c r="G34">
        <f>162-NL[[#This Row],[GP]]</f>
        <v>127</v>
      </c>
      <c r="H34">
        <f>IF(NL[[#This Row],[%]]=_xlfn.MAXIFS(NL[%],NL[Division],NL[[#This Row],[Division]]),"Div. Lead",RANK(NL[[#This Row],[%]],NL[%]))</f>
        <v>15</v>
      </c>
      <c r="I34" t="s">
        <v>47</v>
      </c>
      <c r="J34">
        <f>VLOOKUP(NL[[#This Row],[NL]],Table_0[],18,0)</f>
        <v>31</v>
      </c>
      <c r="K34" s="25">
        <f>VLOOKUP(NL[[#This Row],[NL]],simOutput[],5,0)</f>
        <v>-82</v>
      </c>
      <c r="L34" s="25">
        <f>VLOOKUP(NL[[#This Row],[NL]],Table_0[],12,0)</f>
        <v>-82</v>
      </c>
      <c r="M34" s="24">
        <f>VLOOKUP(NL[[#This Row],[NL]],simOutput[],4,0)</f>
        <v>6.0719999999998865E-3</v>
      </c>
      <c r="N34" s="28" t="str">
        <f>IF((NL[[#This Row],[Rdiff-Sim]]-NL[[#This Row],[Rdiff-MLB]])=0,"","ERROR")</f>
        <v/>
      </c>
      <c r="S34" s="9">
        <v>15</v>
      </c>
      <c r="T34" s="6" t="str" cm="1">
        <f t="array" ref="T34">INDEX(NL[NL],MATCH(SMALL(NL[WC Rank],S34-3),NL[WC Rank],0),0)</f>
        <v>COL</v>
      </c>
      <c r="U34" s="6">
        <f>IF((163-VLOOKUP($T34,NL[[NL]:[L]],2,FALSE)-VLOOKUP(U$19,NL[[NL]:[L]],3,FALSE))&lt;=(VLOOKUP($T34,NL[[NL]:[GR]],6,FALSE)+VLOOKUP(U$19,NL[[NL]:[GR]],6,FALSE))+1,163-VLOOKUP($T34,NL[[NL]:[L]],2,FALSE)-VLOOKUP(U$19,NL[[NL]:[L]],3,FALSE),"X")</f>
        <v>144</v>
      </c>
      <c r="V34" s="12">
        <f>IF((163-VLOOKUP($T34,NL[[NL]:[L]],2,FALSE)-VLOOKUP(V$19,NL[[NL]:[L]],3,FALSE))&lt;=(VLOOKUP($T34,NL[[NL]:[GR]],6,FALSE)+VLOOKUP(V$19,NL[[NL]:[GR]],6,FALSE))+1,163-VLOOKUP($T34,NL[[NL]:[L]],2,FALSE)-VLOOKUP(V$19,NL[[NL]:[L]],3,FALSE),"X")</f>
        <v>142</v>
      </c>
      <c r="W34" s="13">
        <f>IF((163-VLOOKUP($T34,NL[[NL]:[L]],2,FALSE)-VLOOKUP(W$19,NL[[NL]:[L]],3,FALSE))&lt;=(VLOOKUP($T34,NL[[NL]:[GR]],6,FALSE)+VLOOKUP(W$19,NL[[NL]:[GR]],6,FALSE))+1,163-VLOOKUP($T34,NL[[NL]:[L]],2,FALSE)-VLOOKUP(W$19,NL[[NL]:[L]],3,FALSE),"X")</f>
        <v>141</v>
      </c>
      <c r="X34" s="6">
        <f>IF((163-VLOOKUP($T34,NL[[NL]:[L]],2,FALSE)-VLOOKUP(X$19,NL[[NL]:[L]],3,FALSE))&lt;=(VLOOKUP($T34,NL[[NL]:[GR]],6,FALSE)+VLOOKUP(X$19,NL[[NL]:[GR]],6,FALSE))+1,163-VLOOKUP($T34,NL[[NL]:[L]],2,FALSE)-VLOOKUP(X$19,NL[[NL]:[L]],3,FALSE),"X")</f>
        <v>143</v>
      </c>
      <c r="Y34" s="12">
        <f>IF((163-VLOOKUP($T34,NL[[NL]:[L]],2,FALSE)-VLOOKUP(Y$19,NL[[NL]:[L]],3,FALSE))&lt;=(VLOOKUP($T34,NL[[NL]:[GR]],6,FALSE)+VLOOKUP(Y$19,NL[[NL]:[GR]],6,FALSE))+1,163-VLOOKUP($T34,NL[[NL]:[L]],2,FALSE)-VLOOKUP(Y$19,NL[[NL]:[L]],3,FALSE),"X")</f>
        <v>140</v>
      </c>
      <c r="Z34" s="13">
        <f>IF((163-VLOOKUP($T34,NL[[NL]:[L]],2,FALSE)-VLOOKUP(Z$19,NL[[NL]:[L]],3,FALSE))&lt;=(VLOOKUP($T34,NL[[NL]:[GR]],6,FALSE)+VLOOKUP(Z$19,NL[[NL]:[GR]],6,FALSE))+1,163-VLOOKUP($T34,NL[[NL]:[L]],2,FALSE)-VLOOKUP(Z$19,NL[[NL]:[L]],3,FALSE),"X")</f>
        <v>138</v>
      </c>
      <c r="AA34" s="12">
        <f>IF((163-VLOOKUP($T34,NL[[NL]:[L]],2,FALSE)-VLOOKUP(AA$19,NL[[NL]:[L]],3,FALSE))&lt;=(VLOOKUP($T34,NL[[NL]:[GR]],6,FALSE)+VLOOKUP(AA$19,NL[[NL]:[GR]],6,FALSE))+1,163-VLOOKUP($T34,NL[[NL]:[L]],2,FALSE)-VLOOKUP(AA$19,NL[[NL]:[L]],3,FALSE),"X")</f>
        <v>137</v>
      </c>
      <c r="AB34" s="12">
        <f>IF((163-VLOOKUP($T34,NL[[NL]:[L]],2,FALSE)-VLOOKUP(AB$19,NL[[NL]:[L]],3,FALSE))&lt;=(VLOOKUP($T34,NL[[NL]:[GR]],6,FALSE)+VLOOKUP(AB$19,NL[[NL]:[GR]],6,FALSE))+1,163-VLOOKUP($T34,NL[[NL]:[L]],2,FALSE)-VLOOKUP(AB$19,NL[[NL]:[L]],3,FALSE),"X")</f>
        <v>135</v>
      </c>
      <c r="AC34" s="12">
        <f>IF((163-VLOOKUP($T34,NL[[NL]:[L]],2,FALSE)-VLOOKUP(AC$19,NL[[NL]:[L]],3,FALSE))&lt;=(VLOOKUP($T34,NL[[NL]:[GR]],6,FALSE)+VLOOKUP(AC$19,NL[[NL]:[GR]],6,FALSE))+1,163-VLOOKUP($T34,NL[[NL]:[L]],2,FALSE)-VLOOKUP(AC$19,NL[[NL]:[L]],3,FALSE),"X")</f>
        <v>135</v>
      </c>
      <c r="AD34" s="12">
        <f>IF((163-VLOOKUP($T34,NL[[NL]:[L]],2,FALSE)-VLOOKUP(AD$19,NL[[NL]:[L]],3,FALSE))&lt;=(VLOOKUP($T34,NL[[NL]:[GR]],6,FALSE)+VLOOKUP(AD$19,NL[[NL]:[GR]],6,FALSE))+1,163-VLOOKUP($T34,NL[[NL]:[L]],2,FALSE)-VLOOKUP(AD$19,NL[[NL]:[L]],3,FALSE),"X")</f>
        <v>136</v>
      </c>
      <c r="AE34" s="12">
        <f>IF((163-VLOOKUP($T34,NL[[NL]:[L]],2,FALSE)-VLOOKUP(AE$19,NL[[NL]:[L]],3,FALSE))&lt;=(VLOOKUP($T34,NL[[NL]:[GR]],6,FALSE)+VLOOKUP(AE$19,NL[[NL]:[GR]],6,FALSE))+1,163-VLOOKUP($T34,NL[[NL]:[L]],2,FALSE)-VLOOKUP(AE$19,NL[[NL]:[L]],3,FALSE),"X")</f>
        <v>135</v>
      </c>
      <c r="AF34" s="12">
        <f>IF((163-VLOOKUP($T34,NL[[NL]:[L]],2,FALSE)-VLOOKUP(AF$19,NL[[NL]:[L]],3,FALSE))&lt;=(VLOOKUP($T34,NL[[NL]:[GR]],6,FALSE)+VLOOKUP(AF$19,NL[[NL]:[GR]],6,FALSE))+1,163-VLOOKUP($T34,NL[[NL]:[L]],2,FALSE)-VLOOKUP(AF$19,NL[[NL]:[L]],3,FALSE),"X")</f>
        <v>134</v>
      </c>
      <c r="AG34" s="12">
        <f>IF((163-VLOOKUP($T34,NL[[NL]:[L]],2,FALSE)-VLOOKUP(AG$19,NL[[NL]:[L]],3,FALSE))&lt;=(VLOOKUP($T34,NL[[NL]:[GR]],6,FALSE)+VLOOKUP(AG$19,NL[[NL]:[GR]],6,FALSE))+1,163-VLOOKUP($T34,NL[[NL]:[L]],2,FALSE)-VLOOKUP(AG$19,NL[[NL]:[L]],3,FALSE),"X")</f>
        <v>134</v>
      </c>
      <c r="AH34" s="12">
        <f>IF((163-VLOOKUP($T34,NL[[NL]:[L]],2,FALSE)-VLOOKUP(AH$19,NL[[NL]:[L]],3,FALSE))&lt;=(VLOOKUP($T34,NL[[NL]:[GR]],6,FALSE)+VLOOKUP(AH$19,NL[[NL]:[GR]],6,FALSE))+1,163-VLOOKUP($T34,NL[[NL]:[L]],2,FALSE)-VLOOKUP(AH$19,NL[[NL]:[L]],3,FALSE),"X")</f>
        <v>127</v>
      </c>
      <c r="AI34" s="13"/>
      <c r="AJ34" s="1" t="str">
        <f>IF(OR(Z34&lt;&gt;"X",163-_xlfn.MAXIFS(NL[W],NL[Division],VLOOKUP(T34,NL[],8,FALSE))-VLOOKUP(T34,NL[],3,FALSE)&gt;0),"","X")</f>
        <v/>
      </c>
      <c r="AK34" t="str">
        <f t="shared" si="1"/>
        <v/>
      </c>
    </row>
  </sheetData>
  <mergeCells count="1">
    <mergeCell ref="O20:Q20"/>
  </mergeCells>
  <phoneticPr fontId="5" type="noConversion"/>
  <conditionalFormatting sqref="M3:M17 M20:M34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O20:Q20">
    <cfRule type="cellIs" dxfId="42" priority="1" operator="equal">
      <formula>"""Update required"""</formula>
    </cfRule>
  </conditionalFormatting>
  <conditionalFormatting sqref="T3:T17">
    <cfRule type="expression" dxfId="41" priority="32">
      <formula>$AK3="LOCK"</formula>
    </cfRule>
  </conditionalFormatting>
  <conditionalFormatting sqref="T20:T34">
    <cfRule type="expression" dxfId="40" priority="12">
      <formula>$AK20="LOCK"</formula>
    </cfRule>
  </conditionalFormatting>
  <conditionalFormatting sqref="T3:AI4">
    <cfRule type="expression" dxfId="39" priority="7">
      <formula>$AJ3="BYE"</formula>
    </cfRule>
  </conditionalFormatting>
  <conditionalFormatting sqref="T3:AI5">
    <cfRule type="expression" dxfId="38" priority="8">
      <formula>$AJ3="D"</formula>
    </cfRule>
  </conditionalFormatting>
  <conditionalFormatting sqref="T3:AI8">
    <cfRule type="expression" dxfId="37" priority="9">
      <formula>$AJ3="WC"</formula>
    </cfRule>
  </conditionalFormatting>
  <conditionalFormatting sqref="T9:AI17">
    <cfRule type="expression" dxfId="36" priority="6">
      <formula>$AJ9="X"</formula>
    </cfRule>
  </conditionalFormatting>
  <conditionalFormatting sqref="T20:AI21">
    <cfRule type="expression" dxfId="35" priority="14">
      <formula>$AJ20="BYE"</formula>
    </cfRule>
  </conditionalFormatting>
  <conditionalFormatting sqref="T20:AI22">
    <cfRule type="expression" dxfId="34" priority="15">
      <formula>$AJ20="D"</formula>
    </cfRule>
  </conditionalFormatting>
  <conditionalFormatting sqref="T20:AI25">
    <cfRule type="expression" dxfId="33" priority="16">
      <formula>$AJ20="WC"</formula>
    </cfRule>
  </conditionalFormatting>
  <conditionalFormatting sqref="T26:AI34">
    <cfRule type="expression" dxfId="32" priority="13">
      <formula>$AJ26="X"</formula>
    </cfRule>
  </conditionalFormatting>
  <conditionalFormatting sqref="U3:AI17 U20:AI34">
    <cfRule type="containsBlanks" dxfId="31" priority="11">
      <formula>LEN(TRIM(U3))=0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DEF3-7994-4E0B-B4B2-77CC91F53014}">
  <dimension ref="A1:A30"/>
  <sheetViews>
    <sheetView tabSelected="1" topLeftCell="A2" zoomScale="80" zoomScaleNormal="80" workbookViewId="0">
      <selection activeCell="AA21" sqref="AA21"/>
    </sheetView>
  </sheetViews>
  <sheetFormatPr defaultRowHeight="14.5" x14ac:dyDescent="0.35"/>
  <cols>
    <col min="1" max="24" width="13.1796875" customWidth="1"/>
    <col min="25" max="25" width="15" customWidth="1"/>
  </cols>
  <sheetData>
    <row r="1" customFormat="1" ht="23" customHeight="1" x14ac:dyDescent="0.35"/>
    <row r="2" customFormat="1" ht="23" customHeight="1" x14ac:dyDescent="0.35"/>
    <row r="3" customFormat="1" ht="23" customHeight="1" x14ac:dyDescent="0.35"/>
    <row r="4" customFormat="1" ht="23" customHeight="1" x14ac:dyDescent="0.35"/>
    <row r="5" customFormat="1" ht="23" customHeight="1" x14ac:dyDescent="0.35"/>
    <row r="6" customFormat="1" ht="23" customHeight="1" x14ac:dyDescent="0.35"/>
    <row r="7" customFormat="1" ht="23" customHeight="1" x14ac:dyDescent="0.35"/>
    <row r="8" customFormat="1" ht="23" customHeight="1" x14ac:dyDescent="0.35"/>
    <row r="9" customFormat="1" ht="23" customHeight="1" x14ac:dyDescent="0.35"/>
    <row r="10" customFormat="1" ht="23" customHeight="1" x14ac:dyDescent="0.35"/>
    <row r="11" customFormat="1" ht="23" customHeight="1" x14ac:dyDescent="0.35"/>
    <row r="12" customFormat="1" ht="23" customHeight="1" x14ac:dyDescent="0.35"/>
    <row r="13" customFormat="1" ht="23" customHeight="1" x14ac:dyDescent="0.35"/>
    <row r="14" customFormat="1" ht="23" customHeight="1" x14ac:dyDescent="0.35"/>
    <row r="15" customFormat="1" ht="23" customHeight="1" x14ac:dyDescent="0.35"/>
    <row r="16" customFormat="1" ht="23" customHeight="1" x14ac:dyDescent="0.35"/>
    <row r="17" customFormat="1" ht="23" customHeight="1" x14ac:dyDescent="0.35"/>
    <row r="18" customFormat="1" ht="23" customHeight="1" x14ac:dyDescent="0.35"/>
    <row r="19" customFormat="1" ht="23" customHeight="1" x14ac:dyDescent="0.35"/>
    <row r="20" customFormat="1" ht="23" customHeight="1" x14ac:dyDescent="0.35"/>
    <row r="21" customFormat="1" ht="23" customHeight="1" x14ac:dyDescent="0.35"/>
    <row r="22" customFormat="1" ht="23" customHeight="1" x14ac:dyDescent="0.35"/>
    <row r="23" customFormat="1" ht="23" customHeight="1" x14ac:dyDescent="0.35"/>
    <row r="24" customFormat="1" ht="23" customHeight="1" x14ac:dyDescent="0.35"/>
    <row r="25" customFormat="1" ht="23" customHeight="1" x14ac:dyDescent="0.35"/>
    <row r="26" customFormat="1" ht="23" customHeight="1" x14ac:dyDescent="0.35"/>
    <row r="27" customFormat="1" ht="23" customHeight="1" x14ac:dyDescent="0.35"/>
    <row r="28" customFormat="1" ht="23" customHeight="1" x14ac:dyDescent="0.35"/>
    <row r="29" customFormat="1" ht="23" customHeight="1" x14ac:dyDescent="0.35"/>
    <row r="30" customFormat="1" ht="23" customHeight="1" x14ac:dyDescent="0.3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4E84-4EA5-4F75-9C07-2A85DCC2E129}">
  <dimension ref="A1:R63"/>
  <sheetViews>
    <sheetView workbookViewId="0">
      <selection activeCell="S4" sqref="S4"/>
    </sheetView>
  </sheetViews>
  <sheetFormatPr defaultRowHeight="14.5" x14ac:dyDescent="0.35"/>
  <cols>
    <col min="1" max="1" width="10.54296875" bestFit="1" customWidth="1"/>
    <col min="2" max="2" width="20.08984375" bestFit="1" customWidth="1"/>
    <col min="3" max="3" width="4.90625" bestFit="1" customWidth="1"/>
    <col min="4" max="4" width="3.90625" bestFit="1" customWidth="1"/>
    <col min="5" max="5" width="6.26953125" bestFit="1" customWidth="1"/>
    <col min="6" max="6" width="5.453125" bestFit="1" customWidth="1"/>
    <col min="7" max="7" width="8.36328125" bestFit="1" customWidth="1"/>
    <col min="8" max="8" width="5.90625" bestFit="1" customWidth="1"/>
    <col min="9" max="9" width="7.1796875" bestFit="1" customWidth="1"/>
    <col min="10" max="10" width="5.08984375" bestFit="1" customWidth="1"/>
    <col min="11" max="11" width="5.36328125" bestFit="1" customWidth="1"/>
    <col min="12" max="12" width="6.7265625" bestFit="1" customWidth="1"/>
    <col min="13" max="13" width="8.26953125" bestFit="1" customWidth="1"/>
    <col min="14" max="14" width="8.453125" bestFit="1" customWidth="1"/>
    <col min="15" max="15" width="8.26953125" bestFit="1" customWidth="1"/>
    <col min="16" max="16" width="7.6328125" bestFit="1" customWidth="1"/>
    <col min="17" max="17" width="13.1796875" bestFit="1" customWidth="1"/>
    <col min="18" max="18" width="10.54296875" bestFit="1" customWidth="1"/>
  </cols>
  <sheetData>
    <row r="1" spans="1:18" x14ac:dyDescent="0.35">
      <c r="A1" t="s">
        <v>56</v>
      </c>
      <c r="B1" t="s">
        <v>97</v>
      </c>
      <c r="C1" t="s">
        <v>5</v>
      </c>
      <c r="D1" t="s">
        <v>6</v>
      </c>
      <c r="E1" t="s">
        <v>60</v>
      </c>
      <c r="F1" t="s">
        <v>61</v>
      </c>
      <c r="G1" t="s">
        <v>98</v>
      </c>
      <c r="H1" t="s">
        <v>68</v>
      </c>
      <c r="I1" t="s">
        <v>67</v>
      </c>
      <c r="J1" t="s">
        <v>64</v>
      </c>
      <c r="K1" t="s">
        <v>65</v>
      </c>
      <c r="L1" t="s">
        <v>66</v>
      </c>
      <c r="M1" t="s">
        <v>99</v>
      </c>
      <c r="N1" t="s">
        <v>62</v>
      </c>
      <c r="O1" t="s">
        <v>63</v>
      </c>
      <c r="P1" t="s">
        <v>100</v>
      </c>
      <c r="Q1" t="s">
        <v>101</v>
      </c>
      <c r="R1" t="s">
        <v>55</v>
      </c>
    </row>
    <row r="2" spans="1:18" x14ac:dyDescent="0.35">
      <c r="A2" t="str">
        <f t="shared" ref="A2:A32" si="0">VLOOKUP(B2,$B$34:$C$63,2,0)</f>
        <v>BAL</v>
      </c>
      <c r="B2" t="s">
        <v>102</v>
      </c>
      <c r="C2">
        <v>23</v>
      </c>
      <c r="D2">
        <v>12</v>
      </c>
      <c r="E2" t="s">
        <v>203</v>
      </c>
      <c r="F2" t="s">
        <v>69</v>
      </c>
      <c r="G2" t="s">
        <v>69</v>
      </c>
      <c r="H2" t="s">
        <v>82</v>
      </c>
      <c r="I2" t="s">
        <v>71</v>
      </c>
      <c r="J2" t="s">
        <v>185</v>
      </c>
      <c r="K2" t="s">
        <v>116</v>
      </c>
      <c r="L2">
        <v>52</v>
      </c>
      <c r="M2" t="s">
        <v>221</v>
      </c>
      <c r="N2" t="s">
        <v>150</v>
      </c>
      <c r="O2" t="s">
        <v>81</v>
      </c>
      <c r="P2" t="s">
        <v>199</v>
      </c>
      <c r="Q2" t="s">
        <v>222</v>
      </c>
      <c r="R2">
        <f t="shared" ref="R2:R32" si="1">ROW()-1</f>
        <v>1</v>
      </c>
    </row>
    <row r="3" spans="1:18" x14ac:dyDescent="0.35">
      <c r="A3" t="str">
        <f t="shared" si="0"/>
        <v>NYY</v>
      </c>
      <c r="B3" t="s">
        <v>104</v>
      </c>
      <c r="C3">
        <v>24</v>
      </c>
      <c r="D3">
        <v>13</v>
      </c>
      <c r="E3" t="s">
        <v>215</v>
      </c>
      <c r="F3" t="s">
        <v>69</v>
      </c>
      <c r="G3" t="s">
        <v>178</v>
      </c>
      <c r="H3" t="s">
        <v>82</v>
      </c>
      <c r="I3" t="s">
        <v>182</v>
      </c>
      <c r="J3" t="s">
        <v>223</v>
      </c>
      <c r="K3" t="s">
        <v>224</v>
      </c>
      <c r="L3">
        <v>49</v>
      </c>
      <c r="M3" t="s">
        <v>225</v>
      </c>
      <c r="N3" t="s">
        <v>217</v>
      </c>
      <c r="O3" t="s">
        <v>154</v>
      </c>
      <c r="P3" t="s">
        <v>173</v>
      </c>
      <c r="Q3" t="s">
        <v>226</v>
      </c>
      <c r="R3">
        <f t="shared" si="1"/>
        <v>2</v>
      </c>
    </row>
    <row r="4" spans="1:18" x14ac:dyDescent="0.35">
      <c r="A4" t="str">
        <f t="shared" si="0"/>
        <v>CLE</v>
      </c>
      <c r="B4" t="s">
        <v>103</v>
      </c>
      <c r="C4">
        <v>23</v>
      </c>
      <c r="D4">
        <v>13</v>
      </c>
      <c r="E4" t="s">
        <v>186</v>
      </c>
      <c r="F4" t="s">
        <v>95</v>
      </c>
      <c r="G4" t="s">
        <v>69</v>
      </c>
      <c r="H4" t="s">
        <v>78</v>
      </c>
      <c r="I4" t="s">
        <v>71</v>
      </c>
      <c r="J4" t="s">
        <v>227</v>
      </c>
      <c r="K4" t="s">
        <v>166</v>
      </c>
      <c r="L4">
        <v>40</v>
      </c>
      <c r="M4" t="s">
        <v>228</v>
      </c>
      <c r="N4" t="s">
        <v>229</v>
      </c>
      <c r="O4" t="s">
        <v>150</v>
      </c>
      <c r="P4" t="s">
        <v>154</v>
      </c>
      <c r="Q4" t="s">
        <v>230</v>
      </c>
      <c r="R4">
        <f t="shared" si="1"/>
        <v>3</v>
      </c>
    </row>
    <row r="5" spans="1:18" x14ac:dyDescent="0.35">
      <c r="A5" t="str">
        <f t="shared" si="0"/>
        <v>MIN</v>
      </c>
      <c r="B5" t="s">
        <v>109</v>
      </c>
      <c r="C5">
        <v>20</v>
      </c>
      <c r="D5">
        <v>15</v>
      </c>
      <c r="E5" t="s">
        <v>231</v>
      </c>
      <c r="F5" t="s">
        <v>110</v>
      </c>
      <c r="G5" t="s">
        <v>69</v>
      </c>
      <c r="H5" t="s">
        <v>151</v>
      </c>
      <c r="I5" t="s">
        <v>71</v>
      </c>
      <c r="J5" t="s">
        <v>183</v>
      </c>
      <c r="K5" t="s">
        <v>165</v>
      </c>
      <c r="L5">
        <v>11</v>
      </c>
      <c r="M5" t="s">
        <v>193</v>
      </c>
      <c r="N5" t="s">
        <v>87</v>
      </c>
      <c r="O5" t="s">
        <v>96</v>
      </c>
      <c r="P5" t="s">
        <v>232</v>
      </c>
      <c r="Q5" t="s">
        <v>233</v>
      </c>
      <c r="R5">
        <f t="shared" si="1"/>
        <v>4</v>
      </c>
    </row>
    <row r="6" spans="1:18" x14ac:dyDescent="0.35">
      <c r="A6" t="str">
        <f t="shared" si="0"/>
        <v>KCR</v>
      </c>
      <c r="B6" t="s">
        <v>106</v>
      </c>
      <c r="C6">
        <v>21</v>
      </c>
      <c r="D6">
        <v>16</v>
      </c>
      <c r="E6" t="s">
        <v>234</v>
      </c>
      <c r="F6" t="s">
        <v>110</v>
      </c>
      <c r="G6" t="s">
        <v>69</v>
      </c>
      <c r="H6" t="s">
        <v>84</v>
      </c>
      <c r="I6" t="s">
        <v>71</v>
      </c>
      <c r="J6" t="s">
        <v>235</v>
      </c>
      <c r="K6" t="s">
        <v>168</v>
      </c>
      <c r="L6">
        <v>44</v>
      </c>
      <c r="M6" t="s">
        <v>236</v>
      </c>
      <c r="N6" t="s">
        <v>237</v>
      </c>
      <c r="O6" t="s">
        <v>134</v>
      </c>
      <c r="P6" t="s">
        <v>188</v>
      </c>
      <c r="Q6" t="s">
        <v>238</v>
      </c>
      <c r="R6">
        <f t="shared" si="1"/>
        <v>5</v>
      </c>
    </row>
    <row r="7" spans="1:18" x14ac:dyDescent="0.35">
      <c r="A7" t="str">
        <f t="shared" si="0"/>
        <v>TEX</v>
      </c>
      <c r="B7" t="s">
        <v>112</v>
      </c>
      <c r="C7">
        <v>21</v>
      </c>
      <c r="D7">
        <v>16</v>
      </c>
      <c r="E7" t="s">
        <v>234</v>
      </c>
      <c r="F7" t="s">
        <v>110</v>
      </c>
      <c r="G7" t="s">
        <v>69</v>
      </c>
      <c r="H7" t="s">
        <v>82</v>
      </c>
      <c r="I7" t="s">
        <v>182</v>
      </c>
      <c r="J7" t="s">
        <v>239</v>
      </c>
      <c r="K7" t="s">
        <v>240</v>
      </c>
      <c r="L7">
        <v>33</v>
      </c>
      <c r="M7" t="s">
        <v>241</v>
      </c>
      <c r="N7" t="s">
        <v>155</v>
      </c>
      <c r="O7" t="s">
        <v>96</v>
      </c>
      <c r="P7" t="s">
        <v>206</v>
      </c>
      <c r="Q7" t="s">
        <v>242</v>
      </c>
      <c r="R7">
        <f t="shared" si="1"/>
        <v>6</v>
      </c>
    </row>
    <row r="8" spans="1:18" x14ac:dyDescent="0.35">
      <c r="A8" t="str">
        <f t="shared" si="0"/>
        <v>SEA</v>
      </c>
      <c r="B8" t="s">
        <v>111</v>
      </c>
      <c r="C8">
        <v>20</v>
      </c>
      <c r="D8">
        <v>16</v>
      </c>
      <c r="E8" t="s">
        <v>205</v>
      </c>
      <c r="F8" t="s">
        <v>243</v>
      </c>
      <c r="G8" t="s">
        <v>95</v>
      </c>
      <c r="H8" t="s">
        <v>79</v>
      </c>
      <c r="I8" t="s">
        <v>72</v>
      </c>
      <c r="J8" t="s">
        <v>244</v>
      </c>
      <c r="K8" t="s">
        <v>245</v>
      </c>
      <c r="L8">
        <v>15</v>
      </c>
      <c r="M8" t="s">
        <v>184</v>
      </c>
      <c r="N8" t="s">
        <v>146</v>
      </c>
      <c r="O8" t="s">
        <v>87</v>
      </c>
      <c r="P8" t="s">
        <v>216</v>
      </c>
      <c r="Q8" t="s">
        <v>246</v>
      </c>
      <c r="R8">
        <f t="shared" si="1"/>
        <v>7</v>
      </c>
    </row>
    <row r="9" spans="1:18" x14ac:dyDescent="0.35">
      <c r="A9" t="str">
        <f t="shared" si="0"/>
        <v>BOS</v>
      </c>
      <c r="B9" t="s">
        <v>107</v>
      </c>
      <c r="C9">
        <v>19</v>
      </c>
      <c r="D9">
        <v>17</v>
      </c>
      <c r="E9" t="s">
        <v>247</v>
      </c>
      <c r="F9" t="s">
        <v>74</v>
      </c>
      <c r="G9" t="s">
        <v>70</v>
      </c>
      <c r="H9" t="s">
        <v>78</v>
      </c>
      <c r="I9" t="s">
        <v>71</v>
      </c>
      <c r="J9" t="s">
        <v>152</v>
      </c>
      <c r="K9" t="s">
        <v>168</v>
      </c>
      <c r="L9">
        <v>39</v>
      </c>
      <c r="M9" t="s">
        <v>228</v>
      </c>
      <c r="N9" t="s">
        <v>85</v>
      </c>
      <c r="O9" t="s">
        <v>154</v>
      </c>
      <c r="P9" t="s">
        <v>248</v>
      </c>
      <c r="Q9" t="s">
        <v>249</v>
      </c>
      <c r="R9">
        <f t="shared" si="1"/>
        <v>8</v>
      </c>
    </row>
    <row r="10" spans="1:18" x14ac:dyDescent="0.35">
      <c r="A10" t="str">
        <f t="shared" si="0"/>
        <v>DET</v>
      </c>
      <c r="B10" t="s">
        <v>108</v>
      </c>
      <c r="C10">
        <v>19</v>
      </c>
      <c r="D10">
        <v>17</v>
      </c>
      <c r="E10" t="s">
        <v>247</v>
      </c>
      <c r="F10" t="s">
        <v>74</v>
      </c>
      <c r="G10" t="s">
        <v>70</v>
      </c>
      <c r="H10" t="s">
        <v>78</v>
      </c>
      <c r="I10" t="s">
        <v>72</v>
      </c>
      <c r="J10" t="s">
        <v>250</v>
      </c>
      <c r="K10" t="s">
        <v>251</v>
      </c>
      <c r="L10">
        <v>7</v>
      </c>
      <c r="M10" t="s">
        <v>252</v>
      </c>
      <c r="N10" t="s">
        <v>83</v>
      </c>
      <c r="O10" t="s">
        <v>146</v>
      </c>
      <c r="P10" t="s">
        <v>253</v>
      </c>
      <c r="Q10" t="s">
        <v>254</v>
      </c>
      <c r="R10">
        <f t="shared" si="1"/>
        <v>9</v>
      </c>
    </row>
    <row r="11" spans="1:18" x14ac:dyDescent="0.35">
      <c r="A11" t="str">
        <f t="shared" si="0"/>
        <v>TBR</v>
      </c>
      <c r="B11" t="s">
        <v>114</v>
      </c>
      <c r="C11">
        <v>19</v>
      </c>
      <c r="D11">
        <v>18</v>
      </c>
      <c r="E11" t="s">
        <v>207</v>
      </c>
      <c r="F11" t="s">
        <v>255</v>
      </c>
      <c r="G11" t="s">
        <v>256</v>
      </c>
      <c r="H11" t="s">
        <v>79</v>
      </c>
      <c r="I11" t="s">
        <v>164</v>
      </c>
      <c r="J11" t="s">
        <v>257</v>
      </c>
      <c r="K11" t="s">
        <v>258</v>
      </c>
      <c r="L11">
        <v>-28</v>
      </c>
      <c r="M11" t="s">
        <v>259</v>
      </c>
      <c r="N11" t="s">
        <v>206</v>
      </c>
      <c r="O11" t="s">
        <v>94</v>
      </c>
      <c r="P11" t="s">
        <v>134</v>
      </c>
      <c r="Q11" t="s">
        <v>260</v>
      </c>
      <c r="R11">
        <f t="shared" si="1"/>
        <v>10</v>
      </c>
    </row>
    <row r="12" spans="1:18" x14ac:dyDescent="0.35">
      <c r="A12" t="str">
        <f t="shared" si="0"/>
        <v>OAK</v>
      </c>
      <c r="B12" t="s">
        <v>115</v>
      </c>
      <c r="C12">
        <v>17</v>
      </c>
      <c r="D12">
        <v>20</v>
      </c>
      <c r="E12" t="s">
        <v>261</v>
      </c>
      <c r="F12" t="s">
        <v>141</v>
      </c>
      <c r="G12" t="s">
        <v>162</v>
      </c>
      <c r="H12" t="s">
        <v>79</v>
      </c>
      <c r="I12" t="s">
        <v>73</v>
      </c>
      <c r="J12" t="s">
        <v>163</v>
      </c>
      <c r="K12" t="s">
        <v>180</v>
      </c>
      <c r="L12">
        <v>-32</v>
      </c>
      <c r="M12" t="s">
        <v>262</v>
      </c>
      <c r="N12" t="s">
        <v>208</v>
      </c>
      <c r="O12" t="s">
        <v>93</v>
      </c>
      <c r="P12" t="s">
        <v>263</v>
      </c>
      <c r="Q12" t="s">
        <v>264</v>
      </c>
      <c r="R12">
        <f t="shared" si="1"/>
        <v>11</v>
      </c>
    </row>
    <row r="13" spans="1:18" x14ac:dyDescent="0.35">
      <c r="A13" t="str">
        <f t="shared" si="0"/>
        <v>TOR</v>
      </c>
      <c r="B13" t="s">
        <v>113</v>
      </c>
      <c r="C13">
        <v>16</v>
      </c>
      <c r="D13">
        <v>20</v>
      </c>
      <c r="E13" t="s">
        <v>265</v>
      </c>
      <c r="F13" t="s">
        <v>177</v>
      </c>
      <c r="G13" t="s">
        <v>74</v>
      </c>
      <c r="H13" t="s">
        <v>80</v>
      </c>
      <c r="I13" t="s">
        <v>75</v>
      </c>
      <c r="J13" t="s">
        <v>189</v>
      </c>
      <c r="K13" t="s">
        <v>196</v>
      </c>
      <c r="L13">
        <v>-46</v>
      </c>
      <c r="M13" t="s">
        <v>266</v>
      </c>
      <c r="N13" t="s">
        <v>142</v>
      </c>
      <c r="O13" t="s">
        <v>267</v>
      </c>
      <c r="P13" t="s">
        <v>210</v>
      </c>
      <c r="Q13" t="s">
        <v>268</v>
      </c>
      <c r="R13">
        <f t="shared" si="1"/>
        <v>12</v>
      </c>
    </row>
    <row r="14" spans="1:18" x14ac:dyDescent="0.35">
      <c r="A14" t="str">
        <f t="shared" si="0"/>
        <v>LAA</v>
      </c>
      <c r="B14" t="s">
        <v>117</v>
      </c>
      <c r="C14">
        <v>13</v>
      </c>
      <c r="D14">
        <v>23</v>
      </c>
      <c r="E14" t="s">
        <v>269</v>
      </c>
      <c r="F14" t="s">
        <v>270</v>
      </c>
      <c r="G14" t="s">
        <v>177</v>
      </c>
      <c r="H14" t="s">
        <v>80</v>
      </c>
      <c r="I14" t="s">
        <v>72</v>
      </c>
      <c r="J14" t="s">
        <v>271</v>
      </c>
      <c r="K14" t="s">
        <v>212</v>
      </c>
      <c r="L14">
        <v>-35</v>
      </c>
      <c r="M14" t="s">
        <v>209</v>
      </c>
      <c r="N14" t="s">
        <v>148</v>
      </c>
      <c r="O14" t="s">
        <v>208</v>
      </c>
      <c r="P14" t="s">
        <v>213</v>
      </c>
      <c r="Q14" t="s">
        <v>334</v>
      </c>
      <c r="R14">
        <f t="shared" si="1"/>
        <v>13</v>
      </c>
    </row>
    <row r="15" spans="1:18" x14ac:dyDescent="0.35">
      <c r="A15" t="str">
        <f t="shared" si="0"/>
        <v>HOU</v>
      </c>
      <c r="B15" t="s">
        <v>118</v>
      </c>
      <c r="C15">
        <v>12</v>
      </c>
      <c r="D15">
        <v>23</v>
      </c>
      <c r="E15" t="s">
        <v>211</v>
      </c>
      <c r="F15" t="s">
        <v>191</v>
      </c>
      <c r="G15" t="s">
        <v>156</v>
      </c>
      <c r="H15" t="s">
        <v>78</v>
      </c>
      <c r="I15" t="s">
        <v>73</v>
      </c>
      <c r="J15" t="s">
        <v>174</v>
      </c>
      <c r="K15" t="s">
        <v>258</v>
      </c>
      <c r="L15">
        <v>-27</v>
      </c>
      <c r="M15" t="s">
        <v>272</v>
      </c>
      <c r="N15" t="s">
        <v>179</v>
      </c>
      <c r="O15" t="s">
        <v>120</v>
      </c>
      <c r="P15" t="s">
        <v>273</v>
      </c>
      <c r="Q15" t="s">
        <v>274</v>
      </c>
      <c r="R15">
        <f t="shared" si="1"/>
        <v>14</v>
      </c>
    </row>
    <row r="16" spans="1:18" x14ac:dyDescent="0.35">
      <c r="A16" t="str">
        <f t="shared" si="0"/>
        <v>CHW</v>
      </c>
      <c r="B16" t="s">
        <v>119</v>
      </c>
      <c r="C16">
        <v>8</v>
      </c>
      <c r="D16">
        <v>28</v>
      </c>
      <c r="E16" t="s">
        <v>275</v>
      </c>
      <c r="F16" t="s">
        <v>198</v>
      </c>
      <c r="G16" t="s">
        <v>167</v>
      </c>
      <c r="H16" t="s">
        <v>84</v>
      </c>
      <c r="I16" t="s">
        <v>75</v>
      </c>
      <c r="J16" t="s">
        <v>276</v>
      </c>
      <c r="K16" t="s">
        <v>277</v>
      </c>
      <c r="L16">
        <v>-92</v>
      </c>
      <c r="M16" t="s">
        <v>278</v>
      </c>
      <c r="N16" t="s">
        <v>143</v>
      </c>
      <c r="O16" t="s">
        <v>197</v>
      </c>
      <c r="P16" t="s">
        <v>279</v>
      </c>
      <c r="Q16" t="s">
        <v>280</v>
      </c>
      <c r="R16">
        <f t="shared" si="1"/>
        <v>15</v>
      </c>
    </row>
    <row r="17" spans="1:18" x14ac:dyDescent="0.35">
      <c r="A17" t="e">
        <f t="shared" si="0"/>
        <v>#N/A</v>
      </c>
      <c r="B17" t="s">
        <v>121</v>
      </c>
      <c r="E17" t="s">
        <v>60</v>
      </c>
      <c r="F17" t="s">
        <v>61</v>
      </c>
      <c r="G17" t="s">
        <v>98</v>
      </c>
      <c r="H17" t="s">
        <v>68</v>
      </c>
      <c r="I17" t="s">
        <v>67</v>
      </c>
      <c r="J17" t="s">
        <v>64</v>
      </c>
      <c r="K17" t="s">
        <v>65</v>
      </c>
      <c r="M17" t="s">
        <v>99</v>
      </c>
      <c r="N17" t="s">
        <v>62</v>
      </c>
      <c r="O17" t="s">
        <v>63</v>
      </c>
      <c r="P17" t="s">
        <v>100</v>
      </c>
      <c r="Q17" t="s">
        <v>101</v>
      </c>
      <c r="R17">
        <f t="shared" si="1"/>
        <v>16</v>
      </c>
    </row>
    <row r="18" spans="1:18" x14ac:dyDescent="0.35">
      <c r="A18" t="str">
        <f t="shared" si="0"/>
        <v>PHI</v>
      </c>
      <c r="B18" t="s">
        <v>123</v>
      </c>
      <c r="C18">
        <v>26</v>
      </c>
      <c r="D18">
        <v>11</v>
      </c>
      <c r="E18" t="s">
        <v>281</v>
      </c>
      <c r="F18" t="s">
        <v>69</v>
      </c>
      <c r="G18" t="s">
        <v>69</v>
      </c>
      <c r="H18" t="s">
        <v>187</v>
      </c>
      <c r="I18" t="s">
        <v>282</v>
      </c>
      <c r="J18" t="s">
        <v>283</v>
      </c>
      <c r="K18" t="s">
        <v>163</v>
      </c>
      <c r="L18">
        <v>54</v>
      </c>
      <c r="M18" t="s">
        <v>225</v>
      </c>
      <c r="N18" t="s">
        <v>284</v>
      </c>
      <c r="O18" t="s">
        <v>81</v>
      </c>
      <c r="P18" t="s">
        <v>285</v>
      </c>
      <c r="Q18" t="s">
        <v>286</v>
      </c>
      <c r="R18">
        <f t="shared" si="1"/>
        <v>17</v>
      </c>
    </row>
    <row r="19" spans="1:18" x14ac:dyDescent="0.35">
      <c r="A19" t="str">
        <f t="shared" si="0"/>
        <v>LAD</v>
      </c>
      <c r="B19" t="s">
        <v>125</v>
      </c>
      <c r="C19">
        <v>25</v>
      </c>
      <c r="D19">
        <v>13</v>
      </c>
      <c r="E19" t="s">
        <v>287</v>
      </c>
      <c r="F19" t="s">
        <v>70</v>
      </c>
      <c r="G19" t="s">
        <v>69</v>
      </c>
      <c r="H19" t="s">
        <v>151</v>
      </c>
      <c r="I19" t="s">
        <v>181</v>
      </c>
      <c r="J19" t="s">
        <v>220</v>
      </c>
      <c r="K19" t="s">
        <v>288</v>
      </c>
      <c r="L19">
        <v>72</v>
      </c>
      <c r="M19" t="s">
        <v>289</v>
      </c>
      <c r="N19" t="s">
        <v>237</v>
      </c>
      <c r="O19" t="s">
        <v>81</v>
      </c>
      <c r="P19" t="s">
        <v>96</v>
      </c>
      <c r="Q19" t="s">
        <v>290</v>
      </c>
      <c r="R19">
        <f t="shared" si="1"/>
        <v>18</v>
      </c>
    </row>
    <row r="20" spans="1:18" x14ac:dyDescent="0.35">
      <c r="A20" t="str">
        <f t="shared" si="0"/>
        <v>ATL</v>
      </c>
      <c r="B20" t="s">
        <v>122</v>
      </c>
      <c r="C20">
        <v>21</v>
      </c>
      <c r="D20">
        <v>12</v>
      </c>
      <c r="E20" t="s">
        <v>291</v>
      </c>
      <c r="F20" t="s">
        <v>110</v>
      </c>
      <c r="G20" t="s">
        <v>192</v>
      </c>
      <c r="H20" t="s">
        <v>84</v>
      </c>
      <c r="I20" t="s">
        <v>72</v>
      </c>
      <c r="J20" t="s">
        <v>159</v>
      </c>
      <c r="K20" t="s">
        <v>147</v>
      </c>
      <c r="L20">
        <v>36</v>
      </c>
      <c r="M20" t="s">
        <v>292</v>
      </c>
      <c r="N20" t="s">
        <v>293</v>
      </c>
      <c r="O20" t="s">
        <v>87</v>
      </c>
      <c r="P20" t="s">
        <v>140</v>
      </c>
      <c r="Q20" t="s">
        <v>294</v>
      </c>
      <c r="R20">
        <f t="shared" si="1"/>
        <v>19</v>
      </c>
    </row>
    <row r="21" spans="1:18" x14ac:dyDescent="0.35">
      <c r="A21" t="str">
        <f t="shared" si="0"/>
        <v>MIL</v>
      </c>
      <c r="B21" t="s">
        <v>124</v>
      </c>
      <c r="C21">
        <v>21</v>
      </c>
      <c r="D21">
        <v>14</v>
      </c>
      <c r="E21" t="s">
        <v>295</v>
      </c>
      <c r="F21" t="s">
        <v>162</v>
      </c>
      <c r="G21" t="s">
        <v>69</v>
      </c>
      <c r="H21" t="s">
        <v>84</v>
      </c>
      <c r="I21" t="s">
        <v>72</v>
      </c>
      <c r="J21" t="s">
        <v>201</v>
      </c>
      <c r="K21" t="s">
        <v>161</v>
      </c>
      <c r="L21">
        <v>21</v>
      </c>
      <c r="M21" t="s">
        <v>296</v>
      </c>
      <c r="N21" t="s">
        <v>90</v>
      </c>
      <c r="O21" t="s">
        <v>204</v>
      </c>
      <c r="P21" t="s">
        <v>206</v>
      </c>
      <c r="Q21" t="s">
        <v>297</v>
      </c>
      <c r="R21">
        <f t="shared" si="1"/>
        <v>20</v>
      </c>
    </row>
    <row r="22" spans="1:18" x14ac:dyDescent="0.35">
      <c r="A22" t="str">
        <f t="shared" si="0"/>
        <v>CHC</v>
      </c>
      <c r="B22" t="s">
        <v>126</v>
      </c>
      <c r="C22">
        <v>22</v>
      </c>
      <c r="D22">
        <v>15</v>
      </c>
      <c r="E22" t="s">
        <v>298</v>
      </c>
      <c r="F22" t="s">
        <v>162</v>
      </c>
      <c r="G22" t="s">
        <v>178</v>
      </c>
      <c r="H22" t="s">
        <v>78</v>
      </c>
      <c r="I22" t="s">
        <v>72</v>
      </c>
      <c r="J22" t="s">
        <v>299</v>
      </c>
      <c r="K22" t="s">
        <v>300</v>
      </c>
      <c r="L22">
        <v>16</v>
      </c>
      <c r="M22" t="s">
        <v>301</v>
      </c>
      <c r="N22" t="s">
        <v>302</v>
      </c>
      <c r="O22" t="s">
        <v>140</v>
      </c>
      <c r="P22" t="s">
        <v>155</v>
      </c>
      <c r="Q22" t="s">
        <v>303</v>
      </c>
      <c r="R22">
        <f t="shared" si="1"/>
        <v>21</v>
      </c>
    </row>
    <row r="23" spans="1:18" x14ac:dyDescent="0.35">
      <c r="A23" t="str">
        <f t="shared" si="0"/>
        <v>WSH</v>
      </c>
      <c r="B23" t="s">
        <v>129</v>
      </c>
      <c r="C23">
        <v>18</v>
      </c>
      <c r="D23">
        <v>17</v>
      </c>
      <c r="E23" t="s">
        <v>207</v>
      </c>
      <c r="F23" t="s">
        <v>141</v>
      </c>
      <c r="G23" t="s">
        <v>69</v>
      </c>
      <c r="H23" t="s">
        <v>82</v>
      </c>
      <c r="I23" t="s">
        <v>304</v>
      </c>
      <c r="J23" t="s">
        <v>250</v>
      </c>
      <c r="K23" t="s">
        <v>161</v>
      </c>
      <c r="L23">
        <v>-7</v>
      </c>
      <c r="M23" t="s">
        <v>305</v>
      </c>
      <c r="N23" t="s">
        <v>85</v>
      </c>
      <c r="O23" t="s">
        <v>146</v>
      </c>
      <c r="P23" t="s">
        <v>306</v>
      </c>
      <c r="Q23" t="s">
        <v>307</v>
      </c>
      <c r="R23">
        <f t="shared" si="1"/>
        <v>22</v>
      </c>
    </row>
    <row r="24" spans="1:18" x14ac:dyDescent="0.35">
      <c r="A24" t="str">
        <f t="shared" si="0"/>
        <v>NYM</v>
      </c>
      <c r="B24" t="s">
        <v>128</v>
      </c>
      <c r="C24">
        <v>18</v>
      </c>
      <c r="D24">
        <v>18</v>
      </c>
      <c r="E24" t="s">
        <v>169</v>
      </c>
      <c r="F24" t="s">
        <v>177</v>
      </c>
      <c r="G24" t="s">
        <v>95</v>
      </c>
      <c r="H24" t="s">
        <v>78</v>
      </c>
      <c r="I24" t="s">
        <v>304</v>
      </c>
      <c r="J24" t="s">
        <v>308</v>
      </c>
      <c r="K24" t="s">
        <v>160</v>
      </c>
      <c r="L24">
        <v>5</v>
      </c>
      <c r="M24" t="s">
        <v>252</v>
      </c>
      <c r="N24" t="s">
        <v>140</v>
      </c>
      <c r="O24" t="s">
        <v>87</v>
      </c>
      <c r="P24" t="s">
        <v>170</v>
      </c>
      <c r="Q24" t="s">
        <v>309</v>
      </c>
      <c r="R24">
        <f t="shared" si="1"/>
        <v>23</v>
      </c>
    </row>
    <row r="25" spans="1:18" x14ac:dyDescent="0.35">
      <c r="A25" t="str">
        <f t="shared" si="0"/>
        <v>SDP</v>
      </c>
      <c r="B25" t="s">
        <v>133</v>
      </c>
      <c r="C25">
        <v>19</v>
      </c>
      <c r="D25">
        <v>20</v>
      </c>
      <c r="E25" t="s">
        <v>310</v>
      </c>
      <c r="F25" t="s">
        <v>156</v>
      </c>
      <c r="G25" t="s">
        <v>105</v>
      </c>
      <c r="H25" t="s">
        <v>78</v>
      </c>
      <c r="I25" t="s">
        <v>71</v>
      </c>
      <c r="J25" t="s">
        <v>277</v>
      </c>
      <c r="K25" t="s">
        <v>311</v>
      </c>
      <c r="L25">
        <v>13</v>
      </c>
      <c r="M25" t="s">
        <v>312</v>
      </c>
      <c r="N25" t="s">
        <v>149</v>
      </c>
      <c r="O25" t="s">
        <v>146</v>
      </c>
      <c r="P25" t="s">
        <v>93</v>
      </c>
      <c r="Q25" t="s">
        <v>313</v>
      </c>
      <c r="R25">
        <f t="shared" si="1"/>
        <v>24</v>
      </c>
    </row>
    <row r="26" spans="1:18" x14ac:dyDescent="0.35">
      <c r="A26" t="str">
        <f t="shared" si="0"/>
        <v>PIT</v>
      </c>
      <c r="B26" t="s">
        <v>130</v>
      </c>
      <c r="C26">
        <v>17</v>
      </c>
      <c r="D26">
        <v>20</v>
      </c>
      <c r="E26" t="s">
        <v>261</v>
      </c>
      <c r="F26" t="s">
        <v>158</v>
      </c>
      <c r="G26" t="s">
        <v>256</v>
      </c>
      <c r="H26" t="s">
        <v>84</v>
      </c>
      <c r="I26" t="s">
        <v>71</v>
      </c>
      <c r="J26" t="s">
        <v>139</v>
      </c>
      <c r="K26" t="s">
        <v>165</v>
      </c>
      <c r="L26">
        <v>-21</v>
      </c>
      <c r="M26" t="s">
        <v>259</v>
      </c>
      <c r="N26" t="s">
        <v>83</v>
      </c>
      <c r="O26" t="s">
        <v>145</v>
      </c>
      <c r="P26" t="s">
        <v>170</v>
      </c>
      <c r="Q26" t="s">
        <v>335</v>
      </c>
      <c r="R26">
        <f t="shared" si="1"/>
        <v>25</v>
      </c>
    </row>
    <row r="27" spans="1:18" x14ac:dyDescent="0.35">
      <c r="A27" t="str">
        <f t="shared" si="0"/>
        <v>CIN</v>
      </c>
      <c r="B27" t="s">
        <v>127</v>
      </c>
      <c r="C27">
        <v>16</v>
      </c>
      <c r="D27">
        <v>19</v>
      </c>
      <c r="E27" t="s">
        <v>190</v>
      </c>
      <c r="F27" t="s">
        <v>158</v>
      </c>
      <c r="G27" t="s">
        <v>256</v>
      </c>
      <c r="H27" t="s">
        <v>86</v>
      </c>
      <c r="I27" t="s">
        <v>314</v>
      </c>
      <c r="J27" t="s">
        <v>174</v>
      </c>
      <c r="K27" t="s">
        <v>174</v>
      </c>
      <c r="L27">
        <v>0</v>
      </c>
      <c r="M27" t="s">
        <v>172</v>
      </c>
      <c r="N27" t="s">
        <v>145</v>
      </c>
      <c r="O27" t="s">
        <v>134</v>
      </c>
      <c r="P27" t="s">
        <v>218</v>
      </c>
      <c r="Q27" t="s">
        <v>315</v>
      </c>
      <c r="R27">
        <f t="shared" si="1"/>
        <v>26</v>
      </c>
    </row>
    <row r="28" spans="1:18" x14ac:dyDescent="0.35">
      <c r="A28" t="str">
        <f t="shared" si="0"/>
        <v>ARI</v>
      </c>
      <c r="B28" t="s">
        <v>135</v>
      </c>
      <c r="C28">
        <v>16</v>
      </c>
      <c r="D28">
        <v>20</v>
      </c>
      <c r="E28" t="s">
        <v>265</v>
      </c>
      <c r="F28" t="s">
        <v>175</v>
      </c>
      <c r="G28" t="s">
        <v>76</v>
      </c>
      <c r="H28" t="s">
        <v>84</v>
      </c>
      <c r="I28" t="s">
        <v>304</v>
      </c>
      <c r="J28" t="s">
        <v>258</v>
      </c>
      <c r="K28" t="s">
        <v>171</v>
      </c>
      <c r="L28">
        <v>11</v>
      </c>
      <c r="M28" t="s">
        <v>252</v>
      </c>
      <c r="N28" t="s">
        <v>140</v>
      </c>
      <c r="O28" t="s">
        <v>316</v>
      </c>
      <c r="P28" t="s">
        <v>148</v>
      </c>
      <c r="Q28" t="s">
        <v>317</v>
      </c>
      <c r="R28">
        <f t="shared" si="1"/>
        <v>27</v>
      </c>
    </row>
    <row r="29" spans="1:18" x14ac:dyDescent="0.35">
      <c r="A29" t="str">
        <f t="shared" si="0"/>
        <v>SFG</v>
      </c>
      <c r="B29" t="s">
        <v>131</v>
      </c>
      <c r="C29">
        <v>16</v>
      </c>
      <c r="D29">
        <v>21</v>
      </c>
      <c r="E29" t="s">
        <v>318</v>
      </c>
      <c r="F29" t="s">
        <v>176</v>
      </c>
      <c r="G29" t="s">
        <v>110</v>
      </c>
      <c r="H29" t="s">
        <v>80</v>
      </c>
      <c r="I29" t="s">
        <v>72</v>
      </c>
      <c r="J29" t="s">
        <v>166</v>
      </c>
      <c r="K29" t="s">
        <v>201</v>
      </c>
      <c r="L29">
        <v>-36</v>
      </c>
      <c r="M29" t="s">
        <v>262</v>
      </c>
      <c r="N29" t="s">
        <v>88</v>
      </c>
      <c r="O29" t="s">
        <v>248</v>
      </c>
      <c r="P29" t="s">
        <v>319</v>
      </c>
      <c r="Q29" t="s">
        <v>320</v>
      </c>
      <c r="R29">
        <f t="shared" si="1"/>
        <v>28</v>
      </c>
    </row>
    <row r="30" spans="1:18" x14ac:dyDescent="0.35">
      <c r="A30" t="str">
        <f t="shared" si="0"/>
        <v>STL</v>
      </c>
      <c r="B30" t="s">
        <v>132</v>
      </c>
      <c r="C30">
        <v>15</v>
      </c>
      <c r="D30">
        <v>21</v>
      </c>
      <c r="E30" t="s">
        <v>200</v>
      </c>
      <c r="F30" t="s">
        <v>270</v>
      </c>
      <c r="G30" t="s">
        <v>243</v>
      </c>
      <c r="H30" t="s">
        <v>80</v>
      </c>
      <c r="I30" t="s">
        <v>144</v>
      </c>
      <c r="J30" t="s">
        <v>195</v>
      </c>
      <c r="K30" t="s">
        <v>308</v>
      </c>
      <c r="L30">
        <v>-35</v>
      </c>
      <c r="M30" t="s">
        <v>202</v>
      </c>
      <c r="N30" t="s">
        <v>321</v>
      </c>
      <c r="O30" t="s">
        <v>140</v>
      </c>
      <c r="P30" t="s">
        <v>219</v>
      </c>
      <c r="Q30" t="s">
        <v>322</v>
      </c>
      <c r="R30">
        <f t="shared" si="1"/>
        <v>29</v>
      </c>
    </row>
    <row r="31" spans="1:18" x14ac:dyDescent="0.35">
      <c r="A31" t="str">
        <f t="shared" si="0"/>
        <v>MIA</v>
      </c>
      <c r="B31" t="s">
        <v>137</v>
      </c>
      <c r="C31">
        <v>10</v>
      </c>
      <c r="D31">
        <v>28</v>
      </c>
      <c r="E31" t="s">
        <v>323</v>
      </c>
      <c r="F31" t="s">
        <v>324</v>
      </c>
      <c r="G31" t="s">
        <v>175</v>
      </c>
      <c r="H31" t="s">
        <v>84</v>
      </c>
      <c r="I31" t="s">
        <v>75</v>
      </c>
      <c r="J31" t="s">
        <v>194</v>
      </c>
      <c r="K31" t="s">
        <v>325</v>
      </c>
      <c r="L31">
        <v>-77</v>
      </c>
      <c r="M31" t="s">
        <v>326</v>
      </c>
      <c r="N31" t="s">
        <v>157</v>
      </c>
      <c r="O31" t="s">
        <v>219</v>
      </c>
      <c r="P31" t="s">
        <v>327</v>
      </c>
      <c r="Q31" t="s">
        <v>328</v>
      </c>
      <c r="R31">
        <f t="shared" si="1"/>
        <v>30</v>
      </c>
    </row>
    <row r="32" spans="1:18" x14ac:dyDescent="0.35">
      <c r="A32" t="str">
        <f t="shared" si="0"/>
        <v>COL</v>
      </c>
      <c r="B32" t="s">
        <v>136</v>
      </c>
      <c r="C32">
        <v>8</v>
      </c>
      <c r="D32">
        <v>27</v>
      </c>
      <c r="E32" t="s">
        <v>214</v>
      </c>
      <c r="F32" t="s">
        <v>329</v>
      </c>
      <c r="G32" t="s">
        <v>176</v>
      </c>
      <c r="H32" t="s">
        <v>86</v>
      </c>
      <c r="I32" t="s">
        <v>73</v>
      </c>
      <c r="J32" t="s">
        <v>153</v>
      </c>
      <c r="K32" t="s">
        <v>330</v>
      </c>
      <c r="L32">
        <v>-82</v>
      </c>
      <c r="M32" t="s">
        <v>331</v>
      </c>
      <c r="N32" t="s">
        <v>120</v>
      </c>
      <c r="O32" t="s">
        <v>197</v>
      </c>
      <c r="P32" t="s">
        <v>332</v>
      </c>
      <c r="Q32" t="s">
        <v>333</v>
      </c>
      <c r="R32">
        <f t="shared" si="1"/>
        <v>31</v>
      </c>
    </row>
    <row r="34" spans="2:3" x14ac:dyDescent="0.35">
      <c r="B34" s="31" t="s">
        <v>102</v>
      </c>
      <c r="C34" t="s">
        <v>1</v>
      </c>
    </row>
    <row r="35" spans="2:3" x14ac:dyDescent="0.35">
      <c r="B35" s="32" t="s">
        <v>103</v>
      </c>
      <c r="C35" t="s">
        <v>16</v>
      </c>
    </row>
    <row r="36" spans="2:3" x14ac:dyDescent="0.35">
      <c r="B36" s="31" t="s">
        <v>104</v>
      </c>
      <c r="C36" t="s">
        <v>4</v>
      </c>
    </row>
    <row r="37" spans="2:3" x14ac:dyDescent="0.35">
      <c r="B37" s="32" t="s">
        <v>106</v>
      </c>
      <c r="C37" t="s">
        <v>51</v>
      </c>
    </row>
    <row r="38" spans="2:3" x14ac:dyDescent="0.35">
      <c r="B38" s="31" t="s">
        <v>107</v>
      </c>
      <c r="C38" t="s">
        <v>3</v>
      </c>
    </row>
    <row r="39" spans="2:3" x14ac:dyDescent="0.35">
      <c r="B39" s="32" t="s">
        <v>108</v>
      </c>
      <c r="C39" t="s">
        <v>17</v>
      </c>
    </row>
    <row r="40" spans="2:3" x14ac:dyDescent="0.35">
      <c r="B40" s="31" t="s">
        <v>109</v>
      </c>
      <c r="C40" t="s">
        <v>15</v>
      </c>
    </row>
    <row r="41" spans="2:3" x14ac:dyDescent="0.35">
      <c r="B41" s="32" t="s">
        <v>111</v>
      </c>
      <c r="C41" t="s">
        <v>19</v>
      </c>
    </row>
    <row r="42" spans="2:3" x14ac:dyDescent="0.35">
      <c r="B42" s="31" t="s">
        <v>112</v>
      </c>
      <c r="C42" t="s">
        <v>20</v>
      </c>
    </row>
    <row r="43" spans="2:3" x14ac:dyDescent="0.35">
      <c r="B43" s="32" t="s">
        <v>113</v>
      </c>
      <c r="C43" t="s">
        <v>2</v>
      </c>
    </row>
    <row r="44" spans="2:3" x14ac:dyDescent="0.35">
      <c r="B44" s="31" t="s">
        <v>114</v>
      </c>
      <c r="C44" t="s">
        <v>50</v>
      </c>
    </row>
    <row r="45" spans="2:3" x14ac:dyDescent="0.35">
      <c r="B45" s="32" t="s">
        <v>115</v>
      </c>
      <c r="C45" t="s">
        <v>22</v>
      </c>
    </row>
    <row r="46" spans="2:3" x14ac:dyDescent="0.35">
      <c r="B46" s="31" t="s">
        <v>117</v>
      </c>
      <c r="C46" t="s">
        <v>21</v>
      </c>
    </row>
    <row r="47" spans="2:3" x14ac:dyDescent="0.35">
      <c r="B47" s="32" t="s">
        <v>118</v>
      </c>
      <c r="C47" t="s">
        <v>18</v>
      </c>
    </row>
    <row r="48" spans="2:3" x14ac:dyDescent="0.35">
      <c r="B48" s="31" t="s">
        <v>119</v>
      </c>
      <c r="C48" t="s">
        <v>49</v>
      </c>
    </row>
    <row r="49" spans="2:3" x14ac:dyDescent="0.35">
      <c r="B49" s="31" t="s">
        <v>122</v>
      </c>
      <c r="C49" t="s">
        <v>23</v>
      </c>
    </row>
    <row r="50" spans="2:3" x14ac:dyDescent="0.35">
      <c r="B50" s="32" t="s">
        <v>123</v>
      </c>
      <c r="C50" t="s">
        <v>24</v>
      </c>
    </row>
    <row r="51" spans="2:3" x14ac:dyDescent="0.35">
      <c r="B51" s="31" t="s">
        <v>124</v>
      </c>
      <c r="C51" t="s">
        <v>30</v>
      </c>
    </row>
    <row r="52" spans="2:3" x14ac:dyDescent="0.35">
      <c r="B52" s="32" t="s">
        <v>125</v>
      </c>
      <c r="C52" t="s">
        <v>27</v>
      </c>
    </row>
    <row r="53" spans="2:3" x14ac:dyDescent="0.35">
      <c r="B53" s="31" t="s">
        <v>126</v>
      </c>
      <c r="C53" t="s">
        <v>31</v>
      </c>
    </row>
    <row r="54" spans="2:3" x14ac:dyDescent="0.35">
      <c r="B54" s="32" t="s">
        <v>127</v>
      </c>
      <c r="C54" t="s">
        <v>32</v>
      </c>
    </row>
    <row r="55" spans="2:3" x14ac:dyDescent="0.35">
      <c r="B55" s="31" t="s">
        <v>128</v>
      </c>
      <c r="C55" t="s">
        <v>26</v>
      </c>
    </row>
    <row r="56" spans="2:3" x14ac:dyDescent="0.35">
      <c r="B56" s="32" t="s">
        <v>129</v>
      </c>
      <c r="C56" t="s">
        <v>53</v>
      </c>
    </row>
    <row r="57" spans="2:3" x14ac:dyDescent="0.35">
      <c r="B57" s="31" t="s">
        <v>130</v>
      </c>
      <c r="C57" t="s">
        <v>33</v>
      </c>
    </row>
    <row r="58" spans="2:3" x14ac:dyDescent="0.35">
      <c r="B58" s="32" t="s">
        <v>131</v>
      </c>
      <c r="C58" t="s">
        <v>54</v>
      </c>
    </row>
    <row r="59" spans="2:3" x14ac:dyDescent="0.35">
      <c r="B59" s="31" t="s">
        <v>132</v>
      </c>
      <c r="C59" t="s">
        <v>34</v>
      </c>
    </row>
    <row r="60" spans="2:3" x14ac:dyDescent="0.35">
      <c r="B60" s="32" t="s">
        <v>133</v>
      </c>
      <c r="C60" t="s">
        <v>52</v>
      </c>
    </row>
    <row r="61" spans="2:3" x14ac:dyDescent="0.35">
      <c r="B61" s="31" t="s">
        <v>135</v>
      </c>
      <c r="C61" t="s">
        <v>28</v>
      </c>
    </row>
    <row r="62" spans="2:3" x14ac:dyDescent="0.35">
      <c r="B62" s="32" t="s">
        <v>136</v>
      </c>
      <c r="C62" t="s">
        <v>29</v>
      </c>
    </row>
    <row r="63" spans="2:3" x14ac:dyDescent="0.35">
      <c r="B63" s="31" t="s">
        <v>137</v>
      </c>
      <c r="C63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BB75-D3DF-4C13-80F2-8862131C7F91}">
  <dimension ref="A1:G31"/>
  <sheetViews>
    <sheetView workbookViewId="0">
      <selection sqref="A1:E31"/>
    </sheetView>
  </sheetViews>
  <sheetFormatPr defaultRowHeight="14.5" x14ac:dyDescent="0.35"/>
  <cols>
    <col min="1" max="5" width="10.54296875" bestFit="1" customWidth="1"/>
  </cols>
  <sheetData>
    <row r="1" spans="1:7" x14ac:dyDescent="0.35">
      <c r="A1" t="s">
        <v>55</v>
      </c>
      <c r="B1" t="s">
        <v>56</v>
      </c>
      <c r="C1" t="s">
        <v>57</v>
      </c>
      <c r="D1" t="s">
        <v>58</v>
      </c>
      <c r="E1" t="s">
        <v>59</v>
      </c>
      <c r="G1" t="str" cm="1">
        <f t="array" aca="1" ref="G1" ca="1">LEFT(CELL("filename",$A$1),FIND("[",CELL("filename",$A$1),1)-1)</f>
        <v>X:\Code\BasedBall\</v>
      </c>
    </row>
    <row r="2" spans="1:7" x14ac:dyDescent="0.35">
      <c r="A2" t="s">
        <v>1</v>
      </c>
      <c r="B2">
        <v>23</v>
      </c>
      <c r="C2">
        <v>12</v>
      </c>
      <c r="D2">
        <v>0.79479600000071216</v>
      </c>
      <c r="E2">
        <v>52</v>
      </c>
    </row>
    <row r="3" spans="1:7" x14ac:dyDescent="0.35">
      <c r="A3" t="s">
        <v>3</v>
      </c>
      <c r="B3">
        <v>19</v>
      </c>
      <c r="C3">
        <v>17</v>
      </c>
      <c r="D3">
        <v>0.4612200000003786</v>
      </c>
      <c r="E3">
        <v>39</v>
      </c>
    </row>
    <row r="4" spans="1:7" x14ac:dyDescent="0.35">
      <c r="A4" t="s">
        <v>4</v>
      </c>
      <c r="B4">
        <v>24</v>
      </c>
      <c r="C4">
        <v>13</v>
      </c>
      <c r="D4">
        <v>0.78185600000069921</v>
      </c>
      <c r="E4">
        <v>49</v>
      </c>
    </row>
    <row r="5" spans="1:7" x14ac:dyDescent="0.35">
      <c r="A5" t="s">
        <v>50</v>
      </c>
      <c r="B5">
        <v>19</v>
      </c>
      <c r="C5">
        <v>18</v>
      </c>
      <c r="D5">
        <v>0.22625200000014364</v>
      </c>
      <c r="E5">
        <v>-28</v>
      </c>
    </row>
    <row r="6" spans="1:7" x14ac:dyDescent="0.35">
      <c r="A6" t="s">
        <v>2</v>
      </c>
      <c r="B6">
        <v>16</v>
      </c>
      <c r="C6">
        <v>20</v>
      </c>
      <c r="D6">
        <v>0.10076000000001815</v>
      </c>
      <c r="E6">
        <v>-46</v>
      </c>
    </row>
    <row r="7" spans="1:7" x14ac:dyDescent="0.35">
      <c r="A7" t="s">
        <v>16</v>
      </c>
      <c r="B7">
        <v>23</v>
      </c>
      <c r="C7">
        <v>13</v>
      </c>
      <c r="D7">
        <v>0.73879200000065615</v>
      </c>
      <c r="E7">
        <v>40</v>
      </c>
    </row>
    <row r="8" spans="1:7" x14ac:dyDescent="0.35">
      <c r="A8" t="s">
        <v>49</v>
      </c>
      <c r="B8">
        <v>8</v>
      </c>
      <c r="C8">
        <v>28</v>
      </c>
      <c r="D8">
        <v>1.7640000000000169E-3</v>
      </c>
      <c r="E8">
        <v>-92</v>
      </c>
    </row>
    <row r="9" spans="1:7" x14ac:dyDescent="0.35">
      <c r="A9" t="s">
        <v>17</v>
      </c>
      <c r="B9">
        <v>19</v>
      </c>
      <c r="C9">
        <v>17</v>
      </c>
      <c r="D9">
        <v>0.37034000000028772</v>
      </c>
      <c r="E9">
        <v>7</v>
      </c>
    </row>
    <row r="10" spans="1:7" x14ac:dyDescent="0.35">
      <c r="A10" t="s">
        <v>51</v>
      </c>
      <c r="B10">
        <v>21</v>
      </c>
      <c r="C10">
        <v>16</v>
      </c>
      <c r="D10">
        <v>0.59420000000051154</v>
      </c>
      <c r="E10">
        <v>44</v>
      </c>
    </row>
    <row r="11" spans="1:7" x14ac:dyDescent="0.35">
      <c r="A11" t="s">
        <v>15</v>
      </c>
      <c r="B11">
        <v>20</v>
      </c>
      <c r="C11">
        <v>15</v>
      </c>
      <c r="D11">
        <v>0.48927600000040666</v>
      </c>
      <c r="E11">
        <v>11</v>
      </c>
    </row>
    <row r="12" spans="1:7" x14ac:dyDescent="0.35">
      <c r="A12" t="s">
        <v>18</v>
      </c>
      <c r="B12">
        <v>12</v>
      </c>
      <c r="C12">
        <v>23</v>
      </c>
      <c r="D12">
        <v>5.9831999999981851E-2</v>
      </c>
      <c r="E12">
        <v>-27</v>
      </c>
    </row>
    <row r="13" spans="1:7" x14ac:dyDescent="0.35">
      <c r="A13" t="s">
        <v>21</v>
      </c>
      <c r="B13">
        <v>13</v>
      </c>
      <c r="C13">
        <v>23</v>
      </c>
      <c r="D13">
        <v>6.1119999999980905E-2</v>
      </c>
      <c r="E13">
        <v>-35</v>
      </c>
    </row>
    <row r="14" spans="1:7" x14ac:dyDescent="0.35">
      <c r="A14" t="s">
        <v>22</v>
      </c>
      <c r="B14">
        <v>17</v>
      </c>
      <c r="C14">
        <v>20</v>
      </c>
      <c r="D14">
        <v>0.16994400000008733</v>
      </c>
      <c r="E14">
        <v>-32</v>
      </c>
    </row>
    <row r="15" spans="1:7" x14ac:dyDescent="0.35">
      <c r="A15" t="s">
        <v>19</v>
      </c>
      <c r="B15">
        <v>20</v>
      </c>
      <c r="C15">
        <v>16</v>
      </c>
      <c r="D15">
        <v>0.53665600000045399</v>
      </c>
      <c r="E15">
        <v>15</v>
      </c>
    </row>
    <row r="16" spans="1:7" x14ac:dyDescent="0.35">
      <c r="A16" t="s">
        <v>20</v>
      </c>
      <c r="B16">
        <v>21</v>
      </c>
      <c r="C16">
        <v>16</v>
      </c>
      <c r="D16">
        <v>0.61319200000053053</v>
      </c>
      <c r="E16">
        <v>33</v>
      </c>
    </row>
    <row r="17" spans="1:5" x14ac:dyDescent="0.35">
      <c r="A17" t="s">
        <v>23</v>
      </c>
      <c r="B17">
        <v>21</v>
      </c>
      <c r="C17">
        <v>12</v>
      </c>
      <c r="D17">
        <v>0.75470000000067206</v>
      </c>
      <c r="E17">
        <v>36</v>
      </c>
    </row>
    <row r="18" spans="1:5" x14ac:dyDescent="0.35">
      <c r="A18" t="s">
        <v>25</v>
      </c>
      <c r="B18">
        <v>10</v>
      </c>
      <c r="C18">
        <v>28</v>
      </c>
      <c r="D18">
        <v>7.6159999999997566E-3</v>
      </c>
      <c r="E18">
        <v>-77</v>
      </c>
    </row>
    <row r="19" spans="1:5" x14ac:dyDescent="0.35">
      <c r="A19" t="s">
        <v>26</v>
      </c>
      <c r="B19">
        <v>18</v>
      </c>
      <c r="C19">
        <v>18</v>
      </c>
      <c r="D19">
        <v>0.36734400000028472</v>
      </c>
      <c r="E19">
        <v>5</v>
      </c>
    </row>
    <row r="20" spans="1:5" x14ac:dyDescent="0.35">
      <c r="A20" t="s">
        <v>24</v>
      </c>
      <c r="B20">
        <v>26</v>
      </c>
      <c r="C20">
        <v>11</v>
      </c>
      <c r="D20">
        <v>0.90554800000082292</v>
      </c>
      <c r="E20">
        <v>54</v>
      </c>
    </row>
    <row r="21" spans="1:5" x14ac:dyDescent="0.35">
      <c r="A21" t="s">
        <v>53</v>
      </c>
      <c r="B21">
        <v>18</v>
      </c>
      <c r="C21">
        <v>17</v>
      </c>
      <c r="D21">
        <v>0.36127600000027865</v>
      </c>
      <c r="E21">
        <v>-7</v>
      </c>
    </row>
    <row r="22" spans="1:5" x14ac:dyDescent="0.35">
      <c r="A22" t="s">
        <v>31</v>
      </c>
      <c r="B22">
        <v>22</v>
      </c>
      <c r="C22">
        <v>15</v>
      </c>
      <c r="D22">
        <v>0.6632560000005806</v>
      </c>
      <c r="E22">
        <v>16</v>
      </c>
    </row>
    <row r="23" spans="1:5" x14ac:dyDescent="0.35">
      <c r="A23" t="s">
        <v>32</v>
      </c>
      <c r="B23">
        <v>16</v>
      </c>
      <c r="C23">
        <v>19</v>
      </c>
      <c r="D23">
        <v>0.27540000000019277</v>
      </c>
      <c r="E23">
        <v>0</v>
      </c>
    </row>
    <row r="24" spans="1:5" x14ac:dyDescent="0.35">
      <c r="A24" t="s">
        <v>30</v>
      </c>
      <c r="B24">
        <v>21</v>
      </c>
      <c r="C24">
        <v>14</v>
      </c>
      <c r="D24">
        <v>0.67787200000059522</v>
      </c>
      <c r="E24">
        <v>21</v>
      </c>
    </row>
    <row r="25" spans="1:5" x14ac:dyDescent="0.35">
      <c r="A25" t="s">
        <v>33</v>
      </c>
      <c r="B25">
        <v>17</v>
      </c>
      <c r="C25">
        <v>20</v>
      </c>
      <c r="D25">
        <v>0.20552000000012291</v>
      </c>
      <c r="E25">
        <v>-21</v>
      </c>
    </row>
    <row r="26" spans="1:5" x14ac:dyDescent="0.35">
      <c r="A26" t="s">
        <v>34</v>
      </c>
      <c r="B26">
        <v>15</v>
      </c>
      <c r="C26">
        <v>21</v>
      </c>
      <c r="D26">
        <v>0.11944000000003684</v>
      </c>
      <c r="E26">
        <v>-35</v>
      </c>
    </row>
    <row r="27" spans="1:5" x14ac:dyDescent="0.35">
      <c r="A27" t="s">
        <v>28</v>
      </c>
      <c r="B27">
        <v>16</v>
      </c>
      <c r="C27">
        <v>20</v>
      </c>
      <c r="D27">
        <v>0.25616000000017353</v>
      </c>
      <c r="E27">
        <v>11</v>
      </c>
    </row>
    <row r="28" spans="1:5" x14ac:dyDescent="0.35">
      <c r="A28" t="s">
        <v>29</v>
      </c>
      <c r="B28">
        <v>8</v>
      </c>
      <c r="C28">
        <v>27</v>
      </c>
      <c r="D28">
        <v>6.0719999999998865E-3</v>
      </c>
      <c r="E28">
        <v>-82</v>
      </c>
    </row>
    <row r="29" spans="1:5" x14ac:dyDescent="0.35">
      <c r="A29" t="s">
        <v>27</v>
      </c>
      <c r="B29">
        <v>25</v>
      </c>
      <c r="C29">
        <v>13</v>
      </c>
      <c r="D29">
        <v>0.90044000000081781</v>
      </c>
      <c r="E29">
        <v>72</v>
      </c>
    </row>
    <row r="30" spans="1:5" x14ac:dyDescent="0.35">
      <c r="A30" t="s">
        <v>52</v>
      </c>
      <c r="B30">
        <v>19</v>
      </c>
      <c r="C30">
        <v>20</v>
      </c>
      <c r="D30">
        <v>0.35726800000027464</v>
      </c>
      <c r="E30">
        <v>13</v>
      </c>
    </row>
    <row r="31" spans="1:5" x14ac:dyDescent="0.35">
      <c r="A31" t="s">
        <v>54</v>
      </c>
      <c r="B31">
        <v>16</v>
      </c>
      <c r="C31">
        <v>21</v>
      </c>
      <c r="D31">
        <v>0.14208800000005947</v>
      </c>
      <c r="E31">
        <v>-36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8B8F-3E2F-483A-A720-651A3C7A089F}">
  <dimension ref="A1:AE44"/>
  <sheetViews>
    <sheetView workbookViewId="0">
      <selection activeCell="AJ10" sqref="AJ10"/>
    </sheetView>
  </sheetViews>
  <sheetFormatPr defaultColWidth="8.81640625" defaultRowHeight="14.5" x14ac:dyDescent="0.35"/>
  <cols>
    <col min="1" max="1" width="10.54296875" style="30" bestFit="1" customWidth="1"/>
    <col min="2" max="7" width="6.81640625" style="29" bestFit="1" customWidth="1"/>
    <col min="8" max="8" width="7.26953125" style="29" bestFit="1" customWidth="1"/>
    <col min="9" max="11" width="6.81640625" style="29" bestFit="1" customWidth="1"/>
    <col min="12" max="12" width="7" style="29" bestFit="1" customWidth="1"/>
    <col min="13" max="18" width="6.81640625" style="29" bestFit="1" customWidth="1"/>
    <col min="19" max="19" width="7.08984375" style="29" bestFit="1" customWidth="1"/>
    <col min="20" max="20" width="6.81640625" style="29" bestFit="1" customWidth="1"/>
    <col min="21" max="21" width="7.08984375" style="29" bestFit="1" customWidth="1"/>
    <col min="22" max="28" width="6.81640625" style="29" bestFit="1" customWidth="1"/>
    <col min="29" max="30" width="7.81640625" style="29" bestFit="1" customWidth="1"/>
    <col min="31" max="31" width="6.81640625" style="29" bestFit="1" customWidth="1"/>
    <col min="32" max="16384" width="8.81640625" style="29"/>
  </cols>
  <sheetData>
    <row r="1" spans="1:31" x14ac:dyDescent="0.35">
      <c r="A1" s="30" t="s">
        <v>55</v>
      </c>
      <c r="B1" s="29" t="s">
        <v>1</v>
      </c>
      <c r="C1" s="29" t="s">
        <v>3</v>
      </c>
      <c r="D1" s="29" t="s">
        <v>4</v>
      </c>
      <c r="E1" s="29" t="s">
        <v>50</v>
      </c>
      <c r="F1" s="29" t="s">
        <v>2</v>
      </c>
      <c r="G1" s="29" t="s">
        <v>16</v>
      </c>
      <c r="H1" s="29" t="s">
        <v>49</v>
      </c>
      <c r="I1" s="29" t="s">
        <v>17</v>
      </c>
      <c r="J1" s="29" t="s">
        <v>51</v>
      </c>
      <c r="K1" s="29" t="s">
        <v>15</v>
      </c>
      <c r="L1" s="29" t="s">
        <v>18</v>
      </c>
      <c r="M1" s="29" t="s">
        <v>21</v>
      </c>
      <c r="N1" s="29" t="s">
        <v>22</v>
      </c>
      <c r="O1" s="29" t="s">
        <v>19</v>
      </c>
      <c r="P1" s="29" t="s">
        <v>20</v>
      </c>
      <c r="Q1" s="29" t="s">
        <v>23</v>
      </c>
      <c r="R1" s="29" t="s">
        <v>25</v>
      </c>
      <c r="S1" s="29" t="s">
        <v>26</v>
      </c>
      <c r="T1" s="29" t="s">
        <v>24</v>
      </c>
      <c r="U1" s="29" t="s">
        <v>53</v>
      </c>
      <c r="V1" s="29" t="s">
        <v>31</v>
      </c>
      <c r="W1" s="29" t="s">
        <v>32</v>
      </c>
      <c r="X1" s="29" t="s">
        <v>30</v>
      </c>
      <c r="Y1" s="29" t="s">
        <v>33</v>
      </c>
      <c r="Z1" s="29" t="s">
        <v>34</v>
      </c>
      <c r="AA1" s="29" t="s">
        <v>28</v>
      </c>
      <c r="AB1" s="29" t="s">
        <v>29</v>
      </c>
      <c r="AC1" s="29" t="s">
        <v>27</v>
      </c>
      <c r="AD1" s="29" t="s">
        <v>52</v>
      </c>
      <c r="AE1" s="29" t="s">
        <v>54</v>
      </c>
    </row>
    <row r="2" spans="1:31" x14ac:dyDescent="0.35">
      <c r="A2" s="30">
        <v>45371</v>
      </c>
      <c r="B2" s="29">
        <v>0.40376800000032109</v>
      </c>
      <c r="C2" s="29">
        <v>0.40019200000031763</v>
      </c>
      <c r="D2" s="29">
        <v>0.40178800000031922</v>
      </c>
      <c r="E2" s="29">
        <v>0.40126000000031864</v>
      </c>
      <c r="F2" s="29">
        <v>0.40044800000031783</v>
      </c>
      <c r="G2" s="29">
        <v>0.40113200000031851</v>
      </c>
      <c r="H2" s="29">
        <v>0.40113200000031851</v>
      </c>
      <c r="I2" s="29">
        <v>0.40155200000031899</v>
      </c>
      <c r="J2" s="29">
        <v>0.40166000000031904</v>
      </c>
      <c r="K2" s="29">
        <v>0.40478000000032216</v>
      </c>
      <c r="L2" s="29">
        <v>0.40283600000032022</v>
      </c>
      <c r="M2" s="29">
        <v>0.3865760000003039</v>
      </c>
      <c r="N2" s="29">
        <v>0.40280000000032018</v>
      </c>
      <c r="O2" s="29">
        <v>0.38547200000030291</v>
      </c>
      <c r="P2" s="29">
        <v>0.40460400000000002</v>
      </c>
      <c r="Q2" s="29">
        <v>0.331652</v>
      </c>
      <c r="R2" s="29">
        <v>0.36039600000027777</v>
      </c>
      <c r="S2" s="29">
        <v>0.34706400000026444</v>
      </c>
      <c r="T2" s="29">
        <v>0.3613200000002787</v>
      </c>
      <c r="U2" s="29">
        <v>0.36130400000027868</v>
      </c>
      <c r="V2" s="29">
        <v>0.36377200000028109</v>
      </c>
      <c r="W2" s="29">
        <v>0.34760000000000002</v>
      </c>
      <c r="X2" s="29">
        <v>0.3338240000002512</v>
      </c>
      <c r="Y2" s="29">
        <v>0.36204400000027942</v>
      </c>
      <c r="Z2" s="29">
        <v>0.33189200000024927</v>
      </c>
      <c r="AA2" s="29">
        <v>0.16639600000008378</v>
      </c>
      <c r="AB2" s="29">
        <v>0.16707200000008446</v>
      </c>
      <c r="AC2" s="29">
        <v>1.0000000000009173</v>
      </c>
      <c r="AD2" s="29">
        <v>1.0000000000009173</v>
      </c>
      <c r="AE2" s="29">
        <v>0.16566400000008305</v>
      </c>
    </row>
    <row r="3" spans="1:31" x14ac:dyDescent="0.35">
      <c r="A3" s="30">
        <v>45372</v>
      </c>
      <c r="B3" s="29">
        <v>0.40028800000031767</v>
      </c>
      <c r="C3" s="29">
        <v>0.40267600000032006</v>
      </c>
      <c r="D3" s="29">
        <v>0.40369600000032108</v>
      </c>
      <c r="E3" s="29">
        <v>0.40070000000031808</v>
      </c>
      <c r="F3" s="29">
        <v>0.40236800000031975</v>
      </c>
      <c r="G3" s="29">
        <v>0.40180000000031918</v>
      </c>
      <c r="H3" s="29">
        <v>0.40083200000031821</v>
      </c>
      <c r="I3" s="29">
        <v>0.40059600000000001</v>
      </c>
      <c r="J3" s="29">
        <v>0.40154800000031893</v>
      </c>
      <c r="K3" s="29">
        <v>0.40383600000032122</v>
      </c>
      <c r="L3" s="29">
        <v>0.40189200000031927</v>
      </c>
      <c r="M3" s="29">
        <v>0.38604000000030342</v>
      </c>
      <c r="N3" s="29">
        <v>0.40314000000032052</v>
      </c>
      <c r="O3" s="29">
        <v>0.38808800000030547</v>
      </c>
      <c r="P3" s="29">
        <v>0.40250000000031988</v>
      </c>
      <c r="Q3" s="29">
        <v>0.3322280000002496</v>
      </c>
      <c r="R3" s="29">
        <v>0.36125200000027863</v>
      </c>
      <c r="S3" s="29">
        <v>0.34604000000026341</v>
      </c>
      <c r="T3" s="29">
        <v>0.36024400000027762</v>
      </c>
      <c r="U3" s="29">
        <v>0.36041600000027779</v>
      </c>
      <c r="V3" s="29">
        <v>0.36311600000028049</v>
      </c>
      <c r="W3" s="29">
        <v>0.34777600000026515</v>
      </c>
      <c r="X3" s="29">
        <v>0.33310800000025048</v>
      </c>
      <c r="Y3" s="29">
        <v>0.36246000000027984</v>
      </c>
      <c r="Z3" s="29">
        <v>0.33448000000025185</v>
      </c>
      <c r="AA3" s="29">
        <v>0.16616400000008355</v>
      </c>
      <c r="AB3" s="29">
        <v>0.16590000000008329</v>
      </c>
      <c r="AC3" s="29">
        <v>1.0000000000009173</v>
      </c>
      <c r="AD3" s="29">
        <v>1.0000000000009173</v>
      </c>
      <c r="AE3" s="29">
        <v>0.1668160000000842</v>
      </c>
    </row>
    <row r="4" spans="1:31" x14ac:dyDescent="0.35">
      <c r="A4" s="30">
        <v>45379</v>
      </c>
      <c r="B4" s="29">
        <v>0.43732400000035471</v>
      </c>
      <c r="C4" s="29">
        <v>0.43091200000034829</v>
      </c>
      <c r="D4" s="29">
        <v>0.42839200000034577</v>
      </c>
      <c r="E4" s="29">
        <v>0.34856800000026594</v>
      </c>
      <c r="F4" s="29">
        <v>0.43915200000035653</v>
      </c>
      <c r="G4" s="29">
        <v>0.44361600000000001</v>
      </c>
      <c r="H4" s="29">
        <v>0.34986400000026724</v>
      </c>
      <c r="I4" s="29">
        <v>0.4419200000003593</v>
      </c>
      <c r="J4" s="29">
        <v>0.3507280000002681</v>
      </c>
      <c r="K4" s="29">
        <v>0.44085600000035824</v>
      </c>
      <c r="L4" s="29">
        <v>0.36873600000028611</v>
      </c>
      <c r="M4" s="29">
        <v>0.35909200000027647</v>
      </c>
      <c r="N4" s="29">
        <v>0.35644400000027382</v>
      </c>
      <c r="O4" s="29">
        <v>0.36735200000028473</v>
      </c>
      <c r="P4" s="29">
        <v>0.43704400000035443</v>
      </c>
      <c r="Q4" s="29">
        <v>0.4519200000003693</v>
      </c>
      <c r="R4" s="29">
        <v>0.3744200000002918</v>
      </c>
      <c r="S4" s="29">
        <v>0.36556800000028294</v>
      </c>
      <c r="T4" s="29">
        <v>0.36725200000028463</v>
      </c>
      <c r="U4" s="29">
        <v>0.36437600000028175</v>
      </c>
      <c r="V4" s="29">
        <v>0.36843200000028581</v>
      </c>
      <c r="W4" s="29">
        <v>0.44916400000036655</v>
      </c>
      <c r="X4" s="29">
        <v>0.44812800000036551</v>
      </c>
      <c r="Y4" s="29">
        <v>0.43512400000035251</v>
      </c>
      <c r="Z4" s="29">
        <v>0.33051600000024789</v>
      </c>
      <c r="AA4" s="29">
        <v>0.45030800000036769</v>
      </c>
      <c r="AB4" s="29">
        <v>0.35625600000027363</v>
      </c>
      <c r="AC4" s="29">
        <v>0.44408400000036147</v>
      </c>
      <c r="AD4" s="29">
        <v>0.4381760000003555</v>
      </c>
      <c r="AE4" s="29">
        <v>0.35627600000027365</v>
      </c>
    </row>
    <row r="5" spans="1:31" x14ac:dyDescent="0.35">
      <c r="A5" s="30">
        <v>45380</v>
      </c>
      <c r="B5" s="29">
        <v>0.43686800000035425</v>
      </c>
      <c r="C5" s="29">
        <v>0.39773600000031512</v>
      </c>
      <c r="D5" s="29">
        <v>0.47709200000039448</v>
      </c>
      <c r="E5" s="29">
        <v>0.39253600000030991</v>
      </c>
      <c r="F5" s="29">
        <v>0.3909240000003083</v>
      </c>
      <c r="G5" s="29">
        <v>0.48203200000039942</v>
      </c>
      <c r="H5" s="29">
        <v>0.34777200000026515</v>
      </c>
      <c r="I5" s="29">
        <v>0.44117200000035856</v>
      </c>
      <c r="J5" s="29">
        <v>0.35074000000026812</v>
      </c>
      <c r="K5" s="29">
        <v>0.43879200000035617</v>
      </c>
      <c r="L5" s="29">
        <v>0.32424000000024161</v>
      </c>
      <c r="M5" s="29">
        <v>0.36091600000027829</v>
      </c>
      <c r="N5" s="29">
        <v>0.31936800000023674</v>
      </c>
      <c r="O5" s="29">
        <v>0.4001200000003175</v>
      </c>
      <c r="P5" s="29">
        <v>0.43969200000035707</v>
      </c>
      <c r="Q5" s="29">
        <v>0.45168000000036906</v>
      </c>
      <c r="R5" s="29">
        <v>0.33444000000025181</v>
      </c>
      <c r="S5" s="29">
        <v>0.36489600000028227</v>
      </c>
      <c r="T5" s="29">
        <v>0.36462800000000001</v>
      </c>
      <c r="U5" s="29">
        <v>0.36424800000028162</v>
      </c>
      <c r="V5" s="29">
        <v>0.36628800000028366</v>
      </c>
      <c r="W5" s="29">
        <v>0.44570000000036308</v>
      </c>
      <c r="X5" s="29">
        <v>0.44416000000036154</v>
      </c>
      <c r="Y5" s="29">
        <v>0.48118800000039857</v>
      </c>
      <c r="Z5" s="29">
        <v>0.29566000000021303</v>
      </c>
      <c r="AA5" s="29">
        <v>0.49373200000041112</v>
      </c>
      <c r="AB5" s="29">
        <v>0.31029200000022766</v>
      </c>
      <c r="AC5" s="29">
        <v>0.47664000000000001</v>
      </c>
      <c r="AD5" s="29">
        <v>0.39204000000030942</v>
      </c>
      <c r="AE5" s="29">
        <v>0.41440800000033179</v>
      </c>
    </row>
    <row r="6" spans="1:31" x14ac:dyDescent="0.35">
      <c r="A6" s="30">
        <v>45381</v>
      </c>
      <c r="B6" s="29">
        <v>0.47600800000039339</v>
      </c>
      <c r="C6" s="29">
        <v>0.35450000000027188</v>
      </c>
      <c r="D6" s="29">
        <v>0.50947200000042681</v>
      </c>
      <c r="E6" s="29">
        <v>0.42860799999999999</v>
      </c>
      <c r="F6" s="29">
        <v>0.34275600000026013</v>
      </c>
      <c r="G6" s="29">
        <v>0.52302000000044035</v>
      </c>
      <c r="H6" s="29">
        <v>0.32028000000023765</v>
      </c>
      <c r="I6" s="29">
        <v>0.45776000000037514</v>
      </c>
      <c r="J6" s="29">
        <v>0.30275600000022013</v>
      </c>
      <c r="K6" s="29">
        <v>0.48000400000039739</v>
      </c>
      <c r="L6" s="29">
        <v>0.28708000000020445</v>
      </c>
      <c r="M6" s="29">
        <v>0.31704800000023442</v>
      </c>
      <c r="N6" s="29">
        <v>0.27660800000000002</v>
      </c>
      <c r="O6" s="29">
        <v>0.43345200000035078</v>
      </c>
      <c r="P6" s="29">
        <v>0.49064800000040798</v>
      </c>
      <c r="Q6" s="29">
        <v>0.49922800000041662</v>
      </c>
      <c r="R6" s="29">
        <v>0.29675600000021413</v>
      </c>
      <c r="S6" s="29">
        <v>0.34018400000025756</v>
      </c>
      <c r="T6" s="29">
        <v>0.32636800000024374</v>
      </c>
      <c r="U6" s="29">
        <v>0.39942800000031681</v>
      </c>
      <c r="V6" s="29">
        <v>0.31963599999999998</v>
      </c>
      <c r="W6" s="29">
        <v>0.41354000000033092</v>
      </c>
      <c r="X6" s="29">
        <v>0.47673600000039412</v>
      </c>
      <c r="Y6" s="29">
        <v>0.52871999999999997</v>
      </c>
      <c r="Z6" s="29">
        <v>0.33518800000025256</v>
      </c>
      <c r="AA6" s="29">
        <v>0.46078800000037817</v>
      </c>
      <c r="AB6" s="29">
        <v>0.34294800000026032</v>
      </c>
      <c r="AC6" s="29">
        <v>0.44723200000036462</v>
      </c>
      <c r="AD6" s="29">
        <v>0.35721200000027459</v>
      </c>
      <c r="AE6" s="29">
        <v>0.45603600000037342</v>
      </c>
    </row>
    <row r="7" spans="1:31" x14ac:dyDescent="0.35">
      <c r="A7" s="30">
        <v>45382</v>
      </c>
      <c r="B7" s="29">
        <v>0.44926400000036665</v>
      </c>
      <c r="C7" s="29">
        <v>0.4023200000003197</v>
      </c>
      <c r="D7" s="29">
        <v>0.5469640000004643</v>
      </c>
      <c r="E7" s="29">
        <v>0.37722800000029461</v>
      </c>
      <c r="F7" s="29">
        <v>0.39391200000031129</v>
      </c>
      <c r="G7" s="29">
        <v>0.49818000000041562</v>
      </c>
      <c r="H7" s="29">
        <v>0.29087600000020825</v>
      </c>
      <c r="I7" s="29">
        <v>0.49776000000041509</v>
      </c>
      <c r="J7" s="29">
        <v>0.37768400000029506</v>
      </c>
      <c r="K7" s="29">
        <v>0.40456000000032194</v>
      </c>
      <c r="L7" s="29">
        <v>0.26174000000017911</v>
      </c>
      <c r="M7" s="29">
        <v>0.34764</v>
      </c>
      <c r="N7" s="29">
        <v>0.30422000000022159</v>
      </c>
      <c r="O7" s="29">
        <v>0.39000800000030739</v>
      </c>
      <c r="P7" s="29">
        <v>0.45764400000037503</v>
      </c>
      <c r="Q7" s="29">
        <v>0.47487600000039226</v>
      </c>
      <c r="R7" s="29">
        <v>0.27020000000018757</v>
      </c>
      <c r="S7" s="29">
        <v>0.30135200000021872</v>
      </c>
      <c r="T7" s="29">
        <v>0.35467600000027205</v>
      </c>
      <c r="U7" s="29">
        <v>0.36838000000028576</v>
      </c>
      <c r="V7" s="29">
        <v>0.35013200000026751</v>
      </c>
      <c r="W7" s="29">
        <v>0.44326400000036065</v>
      </c>
      <c r="X7" s="29">
        <v>0.51269200000000004</v>
      </c>
      <c r="Y7" s="29">
        <v>0.55618000000047352</v>
      </c>
      <c r="Z7" s="29">
        <v>0.29692000000021429</v>
      </c>
      <c r="AA7" s="29">
        <v>0.50164799999999998</v>
      </c>
      <c r="AB7" s="29">
        <v>0.29940000000021677</v>
      </c>
      <c r="AC7" s="29">
        <v>0.4800120000003974</v>
      </c>
      <c r="AD7" s="29">
        <v>0.4042200000003216</v>
      </c>
      <c r="AE7" s="29">
        <v>0.38604800000030343</v>
      </c>
    </row>
    <row r="8" spans="1:31" x14ac:dyDescent="0.35">
      <c r="A8" s="30">
        <v>45383</v>
      </c>
      <c r="B8" s="29">
        <v>0.47887600000039626</v>
      </c>
      <c r="C8" s="29">
        <v>0.46083600000037822</v>
      </c>
      <c r="D8" s="29">
        <v>0.58428400000050162</v>
      </c>
      <c r="E8" s="29">
        <v>0.32506800000024244</v>
      </c>
      <c r="F8" s="29">
        <v>0.32820800000024558</v>
      </c>
      <c r="G8" s="29">
        <v>0.46294800000038033</v>
      </c>
      <c r="H8" s="29">
        <v>0.23787600000015527</v>
      </c>
      <c r="I8" s="29">
        <v>0.54834400000046568</v>
      </c>
      <c r="J8" s="29">
        <v>0.3338280000002512</v>
      </c>
      <c r="K8" s="29">
        <v>0.40205200000031943</v>
      </c>
      <c r="L8" s="29">
        <v>0.30844400000022582</v>
      </c>
      <c r="M8" s="29">
        <v>0.3643200000002817</v>
      </c>
      <c r="N8" s="29">
        <v>0.25221600000016958</v>
      </c>
      <c r="O8" s="29">
        <v>0.41432800000033171</v>
      </c>
      <c r="P8" s="29">
        <v>0.49837200000041576</v>
      </c>
      <c r="Q8" s="29">
        <v>0.53484800000045218</v>
      </c>
      <c r="R8" s="29">
        <v>0.24135200000015877</v>
      </c>
      <c r="S8" s="29">
        <v>0.26534400000018271</v>
      </c>
      <c r="T8" s="29">
        <v>0.32407200000024144</v>
      </c>
      <c r="U8" s="29">
        <v>0.33424400000025162</v>
      </c>
      <c r="V8" s="29">
        <v>0.39247600000030985</v>
      </c>
      <c r="W8" s="29">
        <v>0.47929200000039668</v>
      </c>
      <c r="X8" s="29">
        <v>0.51014400000042748</v>
      </c>
      <c r="Y8" s="29">
        <v>0.58397200000050131</v>
      </c>
      <c r="Z8" s="29">
        <v>0.34090800000025828</v>
      </c>
      <c r="AA8" s="29">
        <v>0.4742600000003917</v>
      </c>
      <c r="AB8" s="29">
        <v>0.27265600000000001</v>
      </c>
      <c r="AC8" s="29">
        <v>0.53167200000000003</v>
      </c>
      <c r="AD8" s="29">
        <v>0.36910400000028648</v>
      </c>
      <c r="AE8" s="29">
        <v>0.34565600000026303</v>
      </c>
    </row>
    <row r="9" spans="1:31" x14ac:dyDescent="0.35">
      <c r="A9" s="30">
        <v>45384</v>
      </c>
      <c r="B9" s="29">
        <v>0.4429200000003603</v>
      </c>
      <c r="C9" s="29">
        <v>0.49293600000041032</v>
      </c>
      <c r="D9" s="29">
        <v>0.52823600000044557</v>
      </c>
      <c r="E9" s="29">
        <v>0.35897600000027635</v>
      </c>
      <c r="F9" s="29">
        <v>0.35628000000027366</v>
      </c>
      <c r="G9" s="29">
        <v>0.49978400000041717</v>
      </c>
      <c r="H9" s="29">
        <v>0.25512400000017249</v>
      </c>
      <c r="I9" s="29">
        <v>0.58503600000050238</v>
      </c>
      <c r="J9" s="29">
        <v>0.37056400000028794</v>
      </c>
      <c r="K9" s="29">
        <v>0.36094000000027832</v>
      </c>
      <c r="L9" s="29">
        <v>0.27950000000019687</v>
      </c>
      <c r="M9" s="29">
        <v>0.40283200000032021</v>
      </c>
      <c r="N9" s="29">
        <v>0.22674800000014417</v>
      </c>
      <c r="O9" s="29">
        <v>0.3752200000002926</v>
      </c>
      <c r="P9" s="29">
        <v>0.46490400000038229</v>
      </c>
      <c r="Q9" s="29">
        <v>0.50974800000042708</v>
      </c>
      <c r="R9" s="29">
        <v>0.21001600000012741</v>
      </c>
      <c r="S9" s="29">
        <v>0.2324040000001498</v>
      </c>
      <c r="T9" s="29">
        <v>0.3628280000002802</v>
      </c>
      <c r="U9" s="29">
        <v>0.33688800000025426</v>
      </c>
      <c r="V9" s="29">
        <v>0.44638800000036377</v>
      </c>
      <c r="W9" s="29">
        <v>0.43163600000000002</v>
      </c>
      <c r="X9" s="29">
        <v>0.5450680000004624</v>
      </c>
      <c r="Y9" s="29">
        <v>0.57859200000049593</v>
      </c>
      <c r="Z9" s="29">
        <v>0.37999200000029737</v>
      </c>
      <c r="AA9" s="29">
        <v>0.52477600000044211</v>
      </c>
      <c r="AB9" s="29">
        <v>0.23500000000015239</v>
      </c>
      <c r="AC9" s="29">
        <v>0.56198000000047932</v>
      </c>
      <c r="AD9" s="29">
        <v>0.33083600000024821</v>
      </c>
      <c r="AE9" s="29">
        <v>0.31384800000023122</v>
      </c>
    </row>
    <row r="10" spans="1:31" x14ac:dyDescent="0.35">
      <c r="A10" s="30">
        <v>45385</v>
      </c>
      <c r="B10" s="29">
        <v>0.47282000000039021</v>
      </c>
      <c r="C10" s="29">
        <v>0.52825600000044559</v>
      </c>
      <c r="D10" s="29">
        <v>0.55822800000047557</v>
      </c>
      <c r="E10" s="29">
        <v>0.31216000000022953</v>
      </c>
      <c r="F10" s="29">
        <v>0.296628</v>
      </c>
      <c r="G10" s="29">
        <v>0.5433600000004607</v>
      </c>
      <c r="H10" s="29">
        <v>0.25001600000016738</v>
      </c>
      <c r="I10" s="29">
        <v>0.54440400000046174</v>
      </c>
      <c r="J10" s="29">
        <v>0.32676000000024413</v>
      </c>
      <c r="K10" s="29">
        <v>0.40042800000031781</v>
      </c>
      <c r="L10" s="29">
        <v>0.32616000000024353</v>
      </c>
      <c r="M10" s="29">
        <v>0.44945200000036689</v>
      </c>
      <c r="N10" s="29">
        <v>0.18678400000010417</v>
      </c>
      <c r="O10" s="29">
        <v>0.3091240000002265</v>
      </c>
      <c r="P10" s="29">
        <v>0.49542000000041281</v>
      </c>
      <c r="Q10" s="29">
        <v>0.51403200000043137</v>
      </c>
      <c r="R10" s="29">
        <v>0.18126800000009863</v>
      </c>
      <c r="S10" s="29">
        <v>0.26080800000017818</v>
      </c>
      <c r="T10" s="29">
        <v>0.331652</v>
      </c>
      <c r="U10" s="29">
        <v>0.37531200000029269</v>
      </c>
      <c r="V10" s="29">
        <v>0.48648000000040387</v>
      </c>
      <c r="W10" s="29">
        <v>0.47872800000039611</v>
      </c>
      <c r="X10" s="29">
        <v>0.50040400000041774</v>
      </c>
      <c r="Y10" s="29">
        <v>0.55505200000047239</v>
      </c>
      <c r="Z10" s="29">
        <v>0.35116800000026854</v>
      </c>
      <c r="AA10" s="29">
        <v>0.49557600000041296</v>
      </c>
      <c r="AB10" s="29">
        <v>0.21206400000012943</v>
      </c>
      <c r="AC10" s="29">
        <v>0.60402800000052137</v>
      </c>
      <c r="AD10" s="29">
        <v>0.36767600000028505</v>
      </c>
      <c r="AE10" s="29">
        <v>0.28575200000020312</v>
      </c>
    </row>
    <row r="11" spans="1:31" x14ac:dyDescent="0.35">
      <c r="A11" s="30">
        <v>45386</v>
      </c>
      <c r="B11" s="29">
        <v>0.47561599999999998</v>
      </c>
      <c r="C11" s="29">
        <v>0.52994800000044728</v>
      </c>
      <c r="D11" s="29">
        <v>0.55858400000047592</v>
      </c>
      <c r="E11" s="29">
        <v>0.31251200000022988</v>
      </c>
      <c r="F11" s="29">
        <v>0.29660000000021397</v>
      </c>
      <c r="G11" s="29">
        <v>0.5643640000004817</v>
      </c>
      <c r="H11" s="29">
        <v>0.19895600000011637</v>
      </c>
      <c r="I11" s="29">
        <v>0.54498400000046232</v>
      </c>
      <c r="J11" s="29">
        <v>0.38779200000030523</v>
      </c>
      <c r="K11" s="29">
        <v>0.36324400000028062</v>
      </c>
      <c r="L11" s="29">
        <v>0.32775600000024513</v>
      </c>
      <c r="M11" s="29">
        <v>0.4485680000003659</v>
      </c>
      <c r="N11" s="29">
        <v>0.18690400000010429</v>
      </c>
      <c r="O11" s="29">
        <v>0.30847600000022585</v>
      </c>
      <c r="P11" s="29">
        <v>0.49569600000041308</v>
      </c>
      <c r="Q11" s="29">
        <v>0.51923600000043657</v>
      </c>
      <c r="R11" s="29">
        <v>0.1573120000000747</v>
      </c>
      <c r="S11" s="29">
        <v>0.26262400000000002</v>
      </c>
      <c r="T11" s="29">
        <v>0.33184000000024921</v>
      </c>
      <c r="U11" s="29">
        <v>0.34021600000025759</v>
      </c>
      <c r="V11" s="29">
        <v>0.47964400000039703</v>
      </c>
      <c r="W11" s="29">
        <v>0.47422800000039161</v>
      </c>
      <c r="X11" s="29">
        <v>0.49688800000041428</v>
      </c>
      <c r="Y11" s="29">
        <v>0.58938000000050672</v>
      </c>
      <c r="Z11" s="29">
        <v>0.39158400000030896</v>
      </c>
      <c r="AA11" s="29">
        <v>0.49386800000041126</v>
      </c>
      <c r="AB11" s="29">
        <v>0.2098120000001272</v>
      </c>
      <c r="AC11" s="29">
        <v>0.60180800000051915</v>
      </c>
      <c r="AD11" s="29">
        <v>0.36668000000028406</v>
      </c>
      <c r="AE11" s="29">
        <v>0.28488000000020225</v>
      </c>
    </row>
    <row r="12" spans="1:31" x14ac:dyDescent="0.35">
      <c r="A12" s="30">
        <v>45387</v>
      </c>
      <c r="B12" s="29">
        <v>0.52542400000044276</v>
      </c>
      <c r="C12" s="29">
        <v>0.55138000000046872</v>
      </c>
      <c r="D12" s="29">
        <v>0.51434800000043168</v>
      </c>
      <c r="E12" s="29">
        <v>0.28025600000019762</v>
      </c>
      <c r="F12" s="29">
        <v>0.32780400000024518</v>
      </c>
      <c r="G12" s="29">
        <v>0.56266000000000005</v>
      </c>
      <c r="H12" s="29">
        <v>0.17030800000008769</v>
      </c>
      <c r="I12" s="29">
        <v>0.57539200000049273</v>
      </c>
      <c r="J12" s="29">
        <v>0.42320400000034059</v>
      </c>
      <c r="K12" s="29">
        <v>0.36358400000028096</v>
      </c>
      <c r="L12" s="29">
        <v>0.27279600000019016</v>
      </c>
      <c r="M12" s="29">
        <v>0.41722800000033461</v>
      </c>
      <c r="N12" s="29">
        <v>0.17025200000008764</v>
      </c>
      <c r="O12" s="29">
        <v>0.29661999999999999</v>
      </c>
      <c r="P12" s="29">
        <v>0.54874400000046608</v>
      </c>
      <c r="Q12" s="29">
        <v>0.55193600000046927</v>
      </c>
      <c r="R12" s="29">
        <v>0.15599200000007338</v>
      </c>
      <c r="S12" s="29">
        <v>0.28740400000020477</v>
      </c>
      <c r="T12" s="29">
        <v>0.36647600000028385</v>
      </c>
      <c r="U12" s="29">
        <v>0.29498400000021235</v>
      </c>
      <c r="V12" s="29">
        <v>0.51510000000043243</v>
      </c>
      <c r="W12" s="29">
        <v>0.44022400000035761</v>
      </c>
      <c r="X12" s="29">
        <v>0.53323200000045057</v>
      </c>
      <c r="Y12" s="29">
        <v>0.55934000000047668</v>
      </c>
      <c r="Z12" s="29">
        <v>0.3899240000003073</v>
      </c>
      <c r="AA12" s="29">
        <v>0.44708400000036447</v>
      </c>
      <c r="AB12" s="29">
        <v>0.23237200000014976</v>
      </c>
      <c r="AC12" s="29">
        <v>0.56012800000047747</v>
      </c>
      <c r="AD12" s="29">
        <v>0.33967600000025705</v>
      </c>
      <c r="AE12" s="29">
        <v>0.3261280000002435</v>
      </c>
    </row>
    <row r="13" spans="1:31" x14ac:dyDescent="0.35">
      <c r="A13" s="30">
        <v>45388</v>
      </c>
      <c r="B13" s="29">
        <v>0.48793200000040532</v>
      </c>
      <c r="C13" s="29">
        <v>0.5199640000004373</v>
      </c>
      <c r="D13" s="29">
        <v>0.54374000000046108</v>
      </c>
      <c r="E13" s="29">
        <v>0.3112240000002286</v>
      </c>
      <c r="F13" s="29">
        <v>0.2997280000002171</v>
      </c>
      <c r="G13" s="29">
        <v>0.60628000000052362</v>
      </c>
      <c r="H13" s="29">
        <v>0.1397200000000571</v>
      </c>
      <c r="I13" s="29">
        <v>0.5267640000004441</v>
      </c>
      <c r="J13" s="29">
        <v>0.46992000000038731</v>
      </c>
      <c r="K13" s="29">
        <v>0.32405600000024143</v>
      </c>
      <c r="L13" s="29">
        <v>0.22982800000014719</v>
      </c>
      <c r="M13" s="29">
        <v>0.44309200000036048</v>
      </c>
      <c r="N13" s="29">
        <v>0.18913600000010652</v>
      </c>
      <c r="O13" s="29">
        <v>0.32063999999999998</v>
      </c>
      <c r="P13" s="29">
        <v>0.58797600000050532</v>
      </c>
      <c r="Q13" s="29">
        <v>0.58591600000050326</v>
      </c>
      <c r="R13" s="29">
        <v>0.13400000000005138</v>
      </c>
      <c r="S13" s="29">
        <v>0.25556800000017293</v>
      </c>
      <c r="T13" s="29">
        <v>0.40578400000032322</v>
      </c>
      <c r="U13" s="29">
        <v>0.25949200000017686</v>
      </c>
      <c r="V13" s="29">
        <v>0.48012000000039751</v>
      </c>
      <c r="W13" s="29">
        <v>0.47800000000039539</v>
      </c>
      <c r="X13" s="29">
        <v>0.49227600000040966</v>
      </c>
      <c r="Y13" s="29">
        <v>0.59414000000051148</v>
      </c>
      <c r="Z13" s="29">
        <v>0.42995600000034734</v>
      </c>
      <c r="AA13" s="29">
        <v>0.41328000000033066</v>
      </c>
      <c r="AB13" s="29">
        <v>0.20725200000012464</v>
      </c>
      <c r="AC13" s="29">
        <v>0.60214800000051949</v>
      </c>
      <c r="AD13" s="29">
        <v>0.37740800000029479</v>
      </c>
      <c r="AE13" s="29">
        <v>0.28466000000020203</v>
      </c>
    </row>
    <row r="14" spans="1:31" x14ac:dyDescent="0.35">
      <c r="A14" s="30">
        <v>45389</v>
      </c>
      <c r="B14" s="29">
        <v>0.45615600000037354</v>
      </c>
      <c r="C14" s="29">
        <v>0.57701200000049435</v>
      </c>
      <c r="D14" s="29">
        <v>0.59338400000051073</v>
      </c>
      <c r="E14" s="29">
        <v>0.34024800000025762</v>
      </c>
      <c r="F14" s="29">
        <v>0.26217200000017954</v>
      </c>
      <c r="G14" s="29">
        <v>0.60903200000052637</v>
      </c>
      <c r="H14" s="29">
        <v>0.12317600000004056</v>
      </c>
      <c r="I14" s="29">
        <v>0.46889200000038628</v>
      </c>
      <c r="J14" s="29">
        <v>0.51361199999999996</v>
      </c>
      <c r="K14" s="29">
        <v>0.32799600000024537</v>
      </c>
      <c r="L14" s="29">
        <v>0.26345600000018082</v>
      </c>
      <c r="M14" s="29">
        <v>0.39263999999999999</v>
      </c>
      <c r="N14" s="29">
        <v>0.22667200000014409</v>
      </c>
      <c r="O14" s="29">
        <v>0.28298800000020036</v>
      </c>
      <c r="P14" s="29">
        <v>0.5625640000004799</v>
      </c>
      <c r="Q14" s="29">
        <v>0.6183600000005357</v>
      </c>
      <c r="R14" s="29">
        <v>0.1562120000000736</v>
      </c>
      <c r="S14" s="29">
        <v>0.27892400000019629</v>
      </c>
      <c r="T14" s="29">
        <v>0.3627280000002801</v>
      </c>
      <c r="U14" s="29">
        <v>0.27987600000019724</v>
      </c>
      <c r="V14" s="29">
        <v>0.52865200000000001</v>
      </c>
      <c r="W14" s="29">
        <v>0.43834800000035579</v>
      </c>
      <c r="X14" s="29">
        <v>0.5462640000004636</v>
      </c>
      <c r="Y14" s="29">
        <v>0.62984000000054718</v>
      </c>
      <c r="Z14" s="29">
        <v>0.3715280000002889</v>
      </c>
      <c r="AA14" s="29">
        <v>0.38266000000029998</v>
      </c>
      <c r="AB14" s="29">
        <v>0.18266400000010005</v>
      </c>
      <c r="AC14" s="29">
        <v>0.56176800000047911</v>
      </c>
      <c r="AD14" s="29">
        <v>0.34664800000000001</v>
      </c>
      <c r="AE14" s="29">
        <v>0.3155280000002329</v>
      </c>
    </row>
    <row r="15" spans="1:31" x14ac:dyDescent="0.35">
      <c r="A15" s="30">
        <v>45390</v>
      </c>
      <c r="B15" s="29">
        <v>0.4548200000003722</v>
      </c>
      <c r="C15" s="29">
        <v>0.57517600000049252</v>
      </c>
      <c r="D15" s="29">
        <v>0.64651600000056386</v>
      </c>
      <c r="E15" s="29">
        <v>0.29861599999999999</v>
      </c>
      <c r="F15" s="29">
        <v>0.29300000000021037</v>
      </c>
      <c r="G15" s="29">
        <v>0.67716800000059452</v>
      </c>
      <c r="H15" s="29">
        <v>0.10547200000002288</v>
      </c>
      <c r="I15" s="29">
        <v>0.42266000000033999</v>
      </c>
      <c r="J15" s="29">
        <v>0.51319200000043053</v>
      </c>
      <c r="K15" s="29">
        <v>0.28999200000020736</v>
      </c>
      <c r="L15" s="29">
        <v>0.30583600000022321</v>
      </c>
      <c r="M15" s="29">
        <v>0.43909200000035647</v>
      </c>
      <c r="N15" s="29">
        <v>0.22712800000014452</v>
      </c>
      <c r="O15" s="29">
        <v>0.23764000000015503</v>
      </c>
      <c r="P15" s="29">
        <v>0.51369200000000004</v>
      </c>
      <c r="Q15" s="29">
        <v>0.57794800000049529</v>
      </c>
      <c r="R15" s="29">
        <v>0.12472400000004212</v>
      </c>
      <c r="S15" s="29">
        <v>0.31481200000023218</v>
      </c>
      <c r="T15" s="29">
        <v>0.39359200000031097</v>
      </c>
      <c r="U15" s="29">
        <v>0.31857600000023595</v>
      </c>
      <c r="V15" s="29">
        <v>0.50051600000041785</v>
      </c>
      <c r="W15" s="29">
        <v>0.47298400000039043</v>
      </c>
      <c r="X15" s="29">
        <v>0.50478000000042211</v>
      </c>
      <c r="Y15" s="29">
        <v>0.66597200000058332</v>
      </c>
      <c r="Z15" s="29">
        <v>0.3304240000002478</v>
      </c>
      <c r="AA15" s="29">
        <v>0.35367200000027105</v>
      </c>
      <c r="AB15" s="29">
        <v>0.20497200000012236</v>
      </c>
      <c r="AC15" s="29">
        <v>0.59238400000050973</v>
      </c>
      <c r="AD15" s="29">
        <v>0.37635600000029373</v>
      </c>
      <c r="AE15" s="29">
        <v>0.26828800000018566</v>
      </c>
    </row>
    <row r="16" spans="1:31" x14ac:dyDescent="0.35">
      <c r="A16" s="30">
        <v>45391</v>
      </c>
      <c r="B16" s="29">
        <v>0.50129200000041862</v>
      </c>
      <c r="C16" s="29">
        <v>0.52913200000044647</v>
      </c>
      <c r="D16" s="29">
        <v>0.67517200000059252</v>
      </c>
      <c r="E16" s="29">
        <v>0.32539200000024276</v>
      </c>
      <c r="F16" s="29">
        <v>0.32241200000023978</v>
      </c>
      <c r="G16" s="29">
        <v>0.63484000000055218</v>
      </c>
      <c r="H16" s="29">
        <v>0.12256000000003996</v>
      </c>
      <c r="I16" s="29">
        <v>0.45995200000037734</v>
      </c>
      <c r="J16" s="29">
        <v>0.54497200000046231</v>
      </c>
      <c r="K16" s="29">
        <v>0.25096000000016833</v>
      </c>
      <c r="L16" s="29">
        <v>0.27915600000019652</v>
      </c>
      <c r="M16" s="29">
        <v>0.4074160000003248</v>
      </c>
      <c r="N16" s="29">
        <v>0.25150000000016887</v>
      </c>
      <c r="O16" s="29">
        <v>0.21218800000012961</v>
      </c>
      <c r="P16" s="29">
        <v>0.4830560000004005</v>
      </c>
      <c r="Q16" s="29">
        <v>0.61468800000000001</v>
      </c>
      <c r="R16" s="29">
        <v>0.10677200000002415</v>
      </c>
      <c r="S16" s="29">
        <v>0.28502400000020239</v>
      </c>
      <c r="T16" s="29">
        <v>0.34932000000026669</v>
      </c>
      <c r="U16" s="29">
        <v>0.3537200000002711</v>
      </c>
      <c r="V16" s="29">
        <v>0.54604400000046338</v>
      </c>
      <c r="W16" s="29">
        <v>0.42894800000034633</v>
      </c>
      <c r="X16" s="29">
        <v>0.54706800000046441</v>
      </c>
      <c r="Y16" s="29">
        <v>0.62972400000054707</v>
      </c>
      <c r="Z16" s="29">
        <v>0.36919200000028657</v>
      </c>
      <c r="AA16" s="29">
        <v>0.38695200000030433</v>
      </c>
      <c r="AB16" s="29">
        <v>0.1790080000000964</v>
      </c>
      <c r="AC16" s="29">
        <v>0.63144400000054879</v>
      </c>
      <c r="AD16" s="29">
        <v>0.33641600000025379</v>
      </c>
      <c r="AE16" s="29">
        <v>0.23568000000015307</v>
      </c>
    </row>
    <row r="17" spans="1:31" x14ac:dyDescent="0.35">
      <c r="A17" s="30">
        <v>45392</v>
      </c>
      <c r="B17" s="29">
        <v>0.5401600000004575</v>
      </c>
      <c r="C17" s="29">
        <v>0.48774000000040513</v>
      </c>
      <c r="D17" s="29">
        <v>0.63632400000055367</v>
      </c>
      <c r="E17" s="29">
        <v>0.35860799999999998</v>
      </c>
      <c r="F17" s="29">
        <v>0.27835600000019572</v>
      </c>
      <c r="G17" s="29">
        <v>0.66140800000057876</v>
      </c>
      <c r="H17" s="29">
        <v>0.10666800000002406</v>
      </c>
      <c r="I17" s="29">
        <v>0.45703600000037442</v>
      </c>
      <c r="J17" s="29">
        <v>0.59880400000051615</v>
      </c>
      <c r="K17" s="29">
        <v>0.27675600000019412</v>
      </c>
      <c r="L17" s="29">
        <v>0.23301600000015041</v>
      </c>
      <c r="M17" s="29">
        <v>0.36980800000028718</v>
      </c>
      <c r="N17" s="29">
        <v>0.21725200000013464</v>
      </c>
      <c r="O17" s="29">
        <v>0.24648000000016387</v>
      </c>
      <c r="P17" s="29">
        <v>0.53158400000044892</v>
      </c>
      <c r="Q17" s="29">
        <v>0.61577200000053312</v>
      </c>
      <c r="R17" s="29">
        <v>0.12459600000004201</v>
      </c>
      <c r="S17" s="29">
        <v>0.28808000000020545</v>
      </c>
      <c r="T17" s="29">
        <v>0.38562800000000003</v>
      </c>
      <c r="U17" s="29">
        <v>0.30496000000022233</v>
      </c>
      <c r="V17" s="29">
        <v>0.48995600000040734</v>
      </c>
      <c r="W17" s="29">
        <v>0.38823200000030561</v>
      </c>
      <c r="X17" s="29">
        <v>0.60004800000051739</v>
      </c>
      <c r="Y17" s="29">
        <v>0.63378000000055112</v>
      </c>
      <c r="Z17" s="29">
        <v>0.33761200000000002</v>
      </c>
      <c r="AA17" s="29">
        <v>0.42074000000033812</v>
      </c>
      <c r="AB17" s="29">
        <v>0.15436800000007175</v>
      </c>
      <c r="AC17" s="29">
        <v>0.59642800000051377</v>
      </c>
      <c r="AD17" s="29">
        <v>0.38648800000030387</v>
      </c>
      <c r="AE17" s="29">
        <v>0.27331200000019068</v>
      </c>
    </row>
    <row r="18" spans="1:31" x14ac:dyDescent="0.35">
      <c r="A18" s="30">
        <v>45393</v>
      </c>
      <c r="B18" s="29">
        <v>0.58699600000050434</v>
      </c>
      <c r="C18" s="29">
        <v>0.43549600000035288</v>
      </c>
      <c r="D18" s="29">
        <v>0.63449200000055184</v>
      </c>
      <c r="E18" s="29">
        <v>0.35929200000027667</v>
      </c>
      <c r="F18" s="29">
        <v>0.27604400000019341</v>
      </c>
      <c r="G18" s="29">
        <v>0.65901200000057636</v>
      </c>
      <c r="H18" s="29">
        <v>0.10608800000002348</v>
      </c>
      <c r="I18" s="29">
        <v>0.45240400000036979</v>
      </c>
      <c r="J18" s="29">
        <v>0.64942400000056677</v>
      </c>
      <c r="K18" s="29">
        <v>0.27560400000000002</v>
      </c>
      <c r="L18" s="29">
        <v>0.19314400000011053</v>
      </c>
      <c r="M18" s="29">
        <v>0.37563999999999997</v>
      </c>
      <c r="N18" s="29">
        <v>0.24218800000015961</v>
      </c>
      <c r="O18" s="29">
        <v>0.25081600000016818</v>
      </c>
      <c r="P18" s="29">
        <v>0.50336000000042069</v>
      </c>
      <c r="Q18" s="29">
        <v>0.54922400000046656</v>
      </c>
      <c r="R18" s="29">
        <v>0.12333200000004071</v>
      </c>
      <c r="S18" s="29">
        <v>0.34980000000026717</v>
      </c>
      <c r="T18" s="29">
        <v>0.43072800000034811</v>
      </c>
      <c r="U18" s="29">
        <v>0.3035320000002209</v>
      </c>
      <c r="V18" s="29">
        <v>0.4893680000004067</v>
      </c>
      <c r="W18" s="29">
        <v>0.38853200000030591</v>
      </c>
      <c r="X18" s="29">
        <v>0.59895200000051629</v>
      </c>
      <c r="Y18" s="29">
        <v>0.59636400000051371</v>
      </c>
      <c r="Z18" s="29">
        <v>0.33790800000025528</v>
      </c>
      <c r="AA18" s="29">
        <v>0.42006000000033744</v>
      </c>
      <c r="AB18" s="29">
        <v>0.15417200000007156</v>
      </c>
      <c r="AC18" s="29">
        <v>0.59748400000051483</v>
      </c>
      <c r="AD18" s="29">
        <v>0.3864240000003038</v>
      </c>
      <c r="AE18" s="29">
        <v>0.27412000000019149</v>
      </c>
    </row>
    <row r="19" spans="1:31" x14ac:dyDescent="0.35">
      <c r="A19" s="30">
        <v>45394</v>
      </c>
      <c r="B19" s="29">
        <v>0.52943600000044677</v>
      </c>
      <c r="C19" s="29">
        <v>0.39189600000030927</v>
      </c>
      <c r="D19" s="29">
        <v>0.64540000000056275</v>
      </c>
      <c r="E19" s="29">
        <v>0.3998240000003172</v>
      </c>
      <c r="F19" s="29">
        <v>0.24375600000016115</v>
      </c>
      <c r="G19" s="29">
        <v>0.66684000000058419</v>
      </c>
      <c r="H19" s="29">
        <v>8.6499999999999994E-2</v>
      </c>
      <c r="I19" s="29">
        <v>0.52213200000043947</v>
      </c>
      <c r="J19" s="29">
        <v>0.60860400000000003</v>
      </c>
      <c r="K19" s="29">
        <v>0.23394400000015136</v>
      </c>
      <c r="L19" s="29">
        <v>0.16275200000008014</v>
      </c>
      <c r="M19" s="29">
        <v>0.42124400000033863</v>
      </c>
      <c r="N19" s="29">
        <v>0.26822400000018559</v>
      </c>
      <c r="O19" s="29">
        <v>0.27816400000019553</v>
      </c>
      <c r="P19" s="29">
        <v>0.54128400000045862</v>
      </c>
      <c r="Q19" s="29">
        <v>0.59991600000051726</v>
      </c>
      <c r="R19" s="29">
        <v>9.708E-2</v>
      </c>
      <c r="S19" s="29">
        <v>0.38990000000030728</v>
      </c>
      <c r="T19" s="29">
        <v>0.37898800000029642</v>
      </c>
      <c r="U19" s="29">
        <v>0.26295600000018032</v>
      </c>
      <c r="V19" s="29">
        <v>0.43549200000035287</v>
      </c>
      <c r="W19" s="29">
        <v>0.43498400000035242</v>
      </c>
      <c r="X19" s="29">
        <v>0.64418400000056153</v>
      </c>
      <c r="Y19" s="29">
        <v>0.62144000000053878</v>
      </c>
      <c r="Z19" s="29">
        <v>0.36589200000028327</v>
      </c>
      <c r="AA19" s="29">
        <v>0.37393600000029131</v>
      </c>
      <c r="AB19" s="29">
        <v>0.17976400000009715</v>
      </c>
      <c r="AC19" s="29">
        <v>0.56467599999999996</v>
      </c>
      <c r="AD19" s="29">
        <v>0.41324800000033063</v>
      </c>
      <c r="AE19" s="29">
        <v>0.23754400000015496</v>
      </c>
    </row>
    <row r="20" spans="1:31" x14ac:dyDescent="0.35">
      <c r="A20" s="30">
        <v>45395</v>
      </c>
      <c r="B20" s="29">
        <v>0.48670000000040409</v>
      </c>
      <c r="C20" s="29">
        <v>0.44782400000036521</v>
      </c>
      <c r="D20" s="29">
        <v>0.73186800000064922</v>
      </c>
      <c r="E20" s="29">
        <v>0.35300400000027038</v>
      </c>
      <c r="F20" s="29">
        <v>0.28086400000019823</v>
      </c>
      <c r="G20" s="29">
        <v>0.6017560000005191</v>
      </c>
      <c r="H20" s="29">
        <v>7.2099999999999997E-2</v>
      </c>
      <c r="I20" s="29">
        <v>0.43140400000034879</v>
      </c>
      <c r="J20" s="29">
        <v>0.6535520000005709</v>
      </c>
      <c r="K20" s="29">
        <v>0.33553600000025291</v>
      </c>
      <c r="L20" s="29">
        <v>0.2067080000001241</v>
      </c>
      <c r="M20" s="29">
        <v>0.39062400000000003</v>
      </c>
      <c r="N20" s="29">
        <v>0.24497600000016237</v>
      </c>
      <c r="O20" s="29">
        <v>0.25932000000017669</v>
      </c>
      <c r="P20" s="29">
        <v>0.5037640000004211</v>
      </c>
      <c r="Q20" s="29">
        <v>0.5487640000004661</v>
      </c>
      <c r="R20" s="29">
        <v>0.10999600000002741</v>
      </c>
      <c r="S20" s="29">
        <v>0.34099600000025837</v>
      </c>
      <c r="T20" s="29">
        <v>0.41041200000032779</v>
      </c>
      <c r="U20" s="29">
        <v>0.29340000000021077</v>
      </c>
      <c r="V20" s="29">
        <v>0.46493600000038232</v>
      </c>
      <c r="W20" s="29">
        <v>0.46958400000038697</v>
      </c>
      <c r="X20" s="29">
        <v>0.67667600000000006</v>
      </c>
      <c r="Y20" s="29">
        <v>0.57712000000049446</v>
      </c>
      <c r="Z20" s="29">
        <v>0.32036800000023774</v>
      </c>
      <c r="AA20" s="29">
        <v>0.39870400000031608</v>
      </c>
      <c r="AB20" s="29">
        <v>0.14986000000006724</v>
      </c>
      <c r="AC20" s="29">
        <v>0.59602000000051336</v>
      </c>
      <c r="AD20" s="29">
        <v>0.36465600000028198</v>
      </c>
      <c r="AE20" s="29">
        <v>0.27850800000019588</v>
      </c>
    </row>
    <row r="21" spans="1:31" x14ac:dyDescent="0.35">
      <c r="A21" s="30">
        <v>45396</v>
      </c>
      <c r="B21" s="29">
        <v>0.51634000000043367</v>
      </c>
      <c r="C21" s="29">
        <v>0.47442000000039181</v>
      </c>
      <c r="D21" s="29">
        <v>0.69219600000060955</v>
      </c>
      <c r="E21" s="29">
        <v>0.39125200000030863</v>
      </c>
      <c r="F21" s="29">
        <v>0.31184800000022922</v>
      </c>
      <c r="G21" s="29">
        <v>0.62683600000054418</v>
      </c>
      <c r="H21" s="29">
        <v>5.6632000000000002E-2</v>
      </c>
      <c r="I21" s="29">
        <v>0.46178000000037922</v>
      </c>
      <c r="J21" s="29">
        <v>0.61878400000053613</v>
      </c>
      <c r="K21" s="29">
        <v>0.29386000000021123</v>
      </c>
      <c r="L21" s="29">
        <v>0.23746000000015485</v>
      </c>
      <c r="M21" s="29">
        <v>0.3549240000002723</v>
      </c>
      <c r="N21" s="29">
        <v>0.27769600000019506</v>
      </c>
      <c r="O21" s="29">
        <v>0.22756400000014496</v>
      </c>
      <c r="P21" s="29">
        <v>0.45840800000037579</v>
      </c>
      <c r="Q21" s="29">
        <v>0.58437600000050172</v>
      </c>
      <c r="R21" s="29">
        <v>9.4551999999999997E-2</v>
      </c>
      <c r="S21" s="29">
        <v>0.37470800000029209</v>
      </c>
      <c r="T21" s="29">
        <v>0.35551600000027289</v>
      </c>
      <c r="U21" s="29">
        <v>0.26277600000018014</v>
      </c>
      <c r="V21" s="29">
        <v>0.49834000000041578</v>
      </c>
      <c r="W21" s="29">
        <v>0.51644800000043378</v>
      </c>
      <c r="X21" s="29">
        <v>0.64166000000000001</v>
      </c>
      <c r="Y21" s="29">
        <v>0.62668800000000002</v>
      </c>
      <c r="Z21" s="29">
        <v>0.2760320000001934</v>
      </c>
      <c r="AA21" s="29">
        <v>0.44684000000036422</v>
      </c>
      <c r="AB21" s="29">
        <v>0.1239040000000413</v>
      </c>
      <c r="AC21" s="29">
        <v>0.5563640000004737</v>
      </c>
      <c r="AD21" s="29">
        <v>0.4030600000003205</v>
      </c>
      <c r="AE21" s="29">
        <v>0.23873600000015613</v>
      </c>
    </row>
    <row r="22" spans="1:31" x14ac:dyDescent="0.35">
      <c r="A22" s="30">
        <v>45397</v>
      </c>
      <c r="B22" s="29">
        <v>0.55816800000047551</v>
      </c>
      <c r="C22" s="29">
        <v>0.42486800000034225</v>
      </c>
      <c r="D22" s="29">
        <v>0.66422400000058157</v>
      </c>
      <c r="E22" s="29">
        <v>0.34890000000026627</v>
      </c>
      <c r="F22" s="29">
        <v>0.34759200000026497</v>
      </c>
      <c r="G22" s="29">
        <v>0.68353200000060088</v>
      </c>
      <c r="H22" s="29">
        <v>4.4220000000000002E-2</v>
      </c>
      <c r="I22" s="29">
        <v>0.4241720000003415</v>
      </c>
      <c r="J22" s="29">
        <v>0.6595480000005769</v>
      </c>
      <c r="K22" s="29">
        <v>0.25847200000017584</v>
      </c>
      <c r="L22" s="29">
        <v>0.19847200000011583</v>
      </c>
      <c r="M22" s="29">
        <v>0.39580400000031318</v>
      </c>
      <c r="N22" s="29">
        <v>0.23838400000015575</v>
      </c>
      <c r="O22" s="29">
        <v>0.26780800000018518</v>
      </c>
      <c r="P22" s="29">
        <v>0.48583600000040322</v>
      </c>
      <c r="Q22" s="29">
        <v>0.62590800000054325</v>
      </c>
      <c r="R22" s="29">
        <v>7.7091999999999994E-2</v>
      </c>
      <c r="S22" s="29">
        <v>0.40798800000032537</v>
      </c>
      <c r="T22" s="29">
        <v>0.37658400000029391</v>
      </c>
      <c r="U22" s="29">
        <v>0.28099600000019836</v>
      </c>
      <c r="V22" s="29">
        <v>0.53669999999999995</v>
      </c>
      <c r="W22" s="29">
        <v>0.46803200000038542</v>
      </c>
      <c r="X22" s="29">
        <v>0.59457600000051192</v>
      </c>
      <c r="Y22" s="29">
        <v>0.58234800000049969</v>
      </c>
      <c r="Z22" s="29">
        <v>0.30640000000022377</v>
      </c>
      <c r="AA22" s="29">
        <v>0.41286800000033025</v>
      </c>
      <c r="AB22" s="29">
        <v>0.10456400000002196</v>
      </c>
      <c r="AC22" s="29">
        <v>0.51604000000043337</v>
      </c>
      <c r="AD22" s="29">
        <v>0.44315600000036054</v>
      </c>
      <c r="AE22" s="29">
        <v>0.26674800000018412</v>
      </c>
    </row>
    <row r="23" spans="1:31" x14ac:dyDescent="0.35">
      <c r="A23" s="30">
        <v>45398</v>
      </c>
      <c r="B23" s="29">
        <v>0.61163999999999996</v>
      </c>
      <c r="C23" s="29">
        <v>0.38040400000029778</v>
      </c>
      <c r="D23" s="29">
        <v>0.62764399999999998</v>
      </c>
      <c r="E23" s="29">
        <v>0.38234000000029972</v>
      </c>
      <c r="F23" s="29">
        <v>0.38189200000029927</v>
      </c>
      <c r="G23" s="29">
        <v>0.71336400000063072</v>
      </c>
      <c r="H23" s="29">
        <v>4.5303999999992531E-2</v>
      </c>
      <c r="I23" s="29">
        <v>0.46324000000038063</v>
      </c>
      <c r="J23" s="29">
        <v>0.66012400000057747</v>
      </c>
      <c r="K23" s="29">
        <v>0.21122400000012859</v>
      </c>
      <c r="L23" s="29">
        <v>0.1752080000000926</v>
      </c>
      <c r="M23" s="29">
        <v>0.36796800000028534</v>
      </c>
      <c r="N23" s="29">
        <v>0.21500000000013239</v>
      </c>
      <c r="O23" s="29">
        <v>0.30837200000022574</v>
      </c>
      <c r="P23" s="29">
        <v>0.45627600000037366</v>
      </c>
      <c r="Q23" s="29">
        <v>0.66076000000057811</v>
      </c>
      <c r="R23" s="29">
        <v>8.7672E-2</v>
      </c>
      <c r="S23" s="29">
        <v>0.43864800000035598</v>
      </c>
      <c r="T23" s="29">
        <v>0.41999200000033737</v>
      </c>
      <c r="U23" s="29">
        <v>0.2374120000001548</v>
      </c>
      <c r="V23" s="29">
        <v>0.50064799999999998</v>
      </c>
      <c r="W23" s="29">
        <v>0.42821200000034559</v>
      </c>
      <c r="X23" s="29">
        <v>0.55731600000047465</v>
      </c>
      <c r="Y23" s="29">
        <v>0.54666800000000004</v>
      </c>
      <c r="Z23" s="29">
        <v>0.33743200000025481</v>
      </c>
      <c r="AA23" s="29">
        <v>0.440612</v>
      </c>
      <c r="AB23" s="29">
        <v>8.3491999999999997E-2</v>
      </c>
      <c r="AC23" s="29">
        <v>0.5558640000004732</v>
      </c>
      <c r="AD23" s="29">
        <v>0.47808800000039547</v>
      </c>
      <c r="AE23" s="29">
        <v>0.22718400000014455</v>
      </c>
    </row>
    <row r="24" spans="1:31" x14ac:dyDescent="0.35">
      <c r="A24" s="30">
        <v>45399</v>
      </c>
      <c r="B24" s="29">
        <v>0.64230000000055965</v>
      </c>
      <c r="C24" s="29">
        <v>0.41726000000033464</v>
      </c>
      <c r="D24" s="29">
        <v>0.66104000000057839</v>
      </c>
      <c r="E24" s="29">
        <v>0.34361599999999998</v>
      </c>
      <c r="F24" s="29">
        <v>0.33986800000025724</v>
      </c>
      <c r="G24" s="29">
        <v>0.68566000000000005</v>
      </c>
      <c r="H24" s="29">
        <v>4.1683999999999999E-2</v>
      </c>
      <c r="I24" s="29">
        <v>0.42582400000034321</v>
      </c>
      <c r="J24" s="29">
        <v>0.6667520000005841</v>
      </c>
      <c r="K24" s="29">
        <v>0.18339600000010081</v>
      </c>
      <c r="L24" s="29">
        <v>0.14520000000006258</v>
      </c>
      <c r="M24" s="29">
        <v>0.38873200000030611</v>
      </c>
      <c r="N24" s="29">
        <v>0.2393040000001567</v>
      </c>
      <c r="O24" s="29">
        <v>0.33975600000025713</v>
      </c>
      <c r="P24" s="29">
        <v>0.47960799999999998</v>
      </c>
      <c r="Q24" s="29">
        <v>0.68790000000060525</v>
      </c>
      <c r="R24" s="29">
        <v>7.0664000000000005E-2</v>
      </c>
      <c r="S24" s="29">
        <v>0.49259599999999998</v>
      </c>
      <c r="T24" s="29">
        <v>0.45224400000036957</v>
      </c>
      <c r="U24" s="29">
        <v>0.26476400000018213</v>
      </c>
      <c r="V24" s="29">
        <v>0.54044400000045778</v>
      </c>
      <c r="W24" s="29">
        <v>0.38955200000030699</v>
      </c>
      <c r="X24" s="29">
        <v>0.59998800000051733</v>
      </c>
      <c r="Y24" s="29">
        <v>0.48961199999999999</v>
      </c>
      <c r="Z24" s="29">
        <v>0.29940800000021678</v>
      </c>
      <c r="AA24" s="29">
        <v>0.40646000000032384</v>
      </c>
      <c r="AB24" s="29">
        <v>7.2728000000000001E-2</v>
      </c>
      <c r="AC24" s="29">
        <v>0.52237600000043971</v>
      </c>
      <c r="AD24" s="29">
        <v>0.44872800000036611</v>
      </c>
      <c r="AE24" s="29">
        <v>0.2625360000001799</v>
      </c>
    </row>
    <row r="25" spans="1:31" x14ac:dyDescent="0.35">
      <c r="A25" s="30">
        <v>45400</v>
      </c>
      <c r="B25" s="29">
        <v>0.64546400000056281</v>
      </c>
      <c r="C25" s="29">
        <v>0.38143200000029881</v>
      </c>
      <c r="D25" s="29">
        <v>0.6604480000005778</v>
      </c>
      <c r="E25" s="29">
        <v>0.37797600000029535</v>
      </c>
      <c r="F25" s="29">
        <v>0.34216000000025953</v>
      </c>
      <c r="G25" s="29">
        <v>0.7178520000006352</v>
      </c>
      <c r="H25" s="29">
        <v>4.0795999999995843E-2</v>
      </c>
      <c r="I25" s="29">
        <v>0.38658800000030402</v>
      </c>
      <c r="J25" s="29">
        <v>0.66869199999999995</v>
      </c>
      <c r="K25" s="29">
        <v>0.18476000000010215</v>
      </c>
      <c r="L25" s="29">
        <v>0.1431160000000605</v>
      </c>
      <c r="M25" s="29">
        <v>0.35166400000026904</v>
      </c>
      <c r="N25" s="29">
        <v>0.23998800000015735</v>
      </c>
      <c r="O25" s="29">
        <v>0.33931200000025669</v>
      </c>
      <c r="P25" s="29">
        <v>0.51975200000043709</v>
      </c>
      <c r="Q25" s="29">
        <v>0.68603200000060338</v>
      </c>
      <c r="R25" s="29">
        <v>7.1008000000000002E-2</v>
      </c>
      <c r="S25" s="29">
        <v>0.49450000000041189</v>
      </c>
      <c r="T25" s="29">
        <v>0.45048800000036782</v>
      </c>
      <c r="U25" s="29">
        <v>0.26322000000018059</v>
      </c>
      <c r="V25" s="29">
        <v>0.54109600000045843</v>
      </c>
      <c r="W25" s="29">
        <v>0.38933200000030671</v>
      </c>
      <c r="X25" s="29">
        <v>0.59864799999999996</v>
      </c>
      <c r="Y25" s="29">
        <v>0.49482800000041222</v>
      </c>
      <c r="Z25" s="29">
        <v>0.30034000000021771</v>
      </c>
      <c r="AA25" s="29">
        <v>0.36158000000027896</v>
      </c>
      <c r="AB25" s="29">
        <v>7.2711999999999999E-2</v>
      </c>
      <c r="AC25" s="29">
        <v>0.52312400000044046</v>
      </c>
      <c r="AD25" s="29">
        <v>0.44873600000036612</v>
      </c>
      <c r="AE25" s="29">
        <v>0.30435600000022173</v>
      </c>
    </row>
    <row r="26" spans="1:31" x14ac:dyDescent="0.35">
      <c r="A26" s="30">
        <v>45401</v>
      </c>
      <c r="B26" s="29">
        <v>0.59809600000051544</v>
      </c>
      <c r="C26" s="29">
        <v>0.42863200000000001</v>
      </c>
      <c r="D26" s="29">
        <v>0.69340000000061075</v>
      </c>
      <c r="E26" s="29">
        <v>0.33486400000025224</v>
      </c>
      <c r="F26" s="29">
        <v>0.374612</v>
      </c>
      <c r="G26" s="29">
        <v>0.75076000000066812</v>
      </c>
      <c r="H26" s="29">
        <v>2.8368000000002468E-2</v>
      </c>
      <c r="I26" s="29">
        <v>0.41517200000033255</v>
      </c>
      <c r="J26" s="29">
        <v>0.70716000000062451</v>
      </c>
      <c r="K26" s="29">
        <v>0.15778800000007517</v>
      </c>
      <c r="L26" s="29">
        <v>0.173624</v>
      </c>
      <c r="M26" s="29">
        <v>0.31371200000023108</v>
      </c>
      <c r="N26" s="29">
        <v>0.20059200000011801</v>
      </c>
      <c r="O26" s="29">
        <v>0.34961999999999999</v>
      </c>
      <c r="P26" s="29">
        <v>0.47360000000000002</v>
      </c>
      <c r="Q26" s="29">
        <v>0.70772400000062508</v>
      </c>
      <c r="R26" s="29">
        <v>5.5272000000000002E-2</v>
      </c>
      <c r="S26" s="29">
        <v>0.5418680000004592</v>
      </c>
      <c r="T26" s="29">
        <v>0.49885600000041624</v>
      </c>
      <c r="U26" s="29">
        <v>0.2289040000001463</v>
      </c>
      <c r="V26" s="29">
        <v>0.57631600000049366</v>
      </c>
      <c r="W26" s="29">
        <v>0.42917600000034656</v>
      </c>
      <c r="X26" s="29">
        <v>0.63880000000055615</v>
      </c>
      <c r="Y26" s="29">
        <v>0.43138800000034883</v>
      </c>
      <c r="Z26" s="29">
        <v>0.26168400000017905</v>
      </c>
      <c r="AA26" s="29">
        <v>0.43654400000035393</v>
      </c>
      <c r="AB26" s="29">
        <v>7.3300000000000004E-2</v>
      </c>
      <c r="AC26" s="29">
        <v>0.47416000000039155</v>
      </c>
      <c r="AD26" s="29">
        <v>0.41145200000032878</v>
      </c>
      <c r="AE26" s="29">
        <v>0.23455600000015195</v>
      </c>
    </row>
    <row r="27" spans="1:31" x14ac:dyDescent="0.35">
      <c r="A27" s="30">
        <v>45402</v>
      </c>
      <c r="B27" s="29">
        <v>0.63010000000054744</v>
      </c>
      <c r="C27" s="29">
        <v>0.46612800000038351</v>
      </c>
      <c r="D27" s="29">
        <v>0.65414000000057149</v>
      </c>
      <c r="E27" s="29">
        <v>0.3631200000002805</v>
      </c>
      <c r="F27" s="29">
        <v>0.41174000000032912</v>
      </c>
      <c r="G27" s="29">
        <v>0.77935600000069671</v>
      </c>
      <c r="H27" s="29">
        <v>2.2248000000001655E-2</v>
      </c>
      <c r="I27" s="29">
        <v>0.37403200000029141</v>
      </c>
      <c r="J27" s="29">
        <v>0.66340000000058075</v>
      </c>
      <c r="K27" s="29">
        <v>0.17733600000009472</v>
      </c>
      <c r="L27" s="29">
        <v>0.15352000000007091</v>
      </c>
      <c r="M27" s="29">
        <v>0.28470000000020207</v>
      </c>
      <c r="N27" s="29">
        <v>0.17399600000009138</v>
      </c>
      <c r="O27" s="29">
        <v>0.40896800000032629</v>
      </c>
      <c r="P27" s="29">
        <v>0.4372160000003546</v>
      </c>
      <c r="Q27" s="29">
        <v>0.73396400000065132</v>
      </c>
      <c r="R27" s="29">
        <v>5.0167999999999997E-2</v>
      </c>
      <c r="S27" s="29">
        <v>0.57067199999999996</v>
      </c>
      <c r="T27" s="29">
        <v>0.53461199999999998</v>
      </c>
      <c r="U27" s="29">
        <v>0.24995600000016735</v>
      </c>
      <c r="V27" s="29">
        <v>0.57381600000049116</v>
      </c>
      <c r="W27" s="29">
        <v>0.46325600000038064</v>
      </c>
      <c r="X27" s="29">
        <v>0.67977600000059712</v>
      </c>
      <c r="Y27" s="29">
        <v>0.38702800000030441</v>
      </c>
      <c r="Z27" s="29">
        <v>0.21444800000013184</v>
      </c>
      <c r="AA27" s="29">
        <v>0.3944200000003118</v>
      </c>
      <c r="AB27" s="29">
        <v>5.8967999999982486E-2</v>
      </c>
      <c r="AC27" s="29">
        <v>0.4397200000003571</v>
      </c>
      <c r="AD27" s="29">
        <v>0.37237200000028975</v>
      </c>
      <c r="AE27" s="29">
        <v>0.27682400000019419</v>
      </c>
    </row>
    <row r="28" spans="1:31" x14ac:dyDescent="0.35">
      <c r="A28" s="30">
        <v>45403</v>
      </c>
      <c r="B28" s="29">
        <v>0.66960799999999998</v>
      </c>
      <c r="C28" s="29">
        <v>0.51204400000042938</v>
      </c>
      <c r="D28" s="29">
        <v>0.68290400000060025</v>
      </c>
      <c r="E28" s="29">
        <v>0.32789600000024527</v>
      </c>
      <c r="F28" s="29">
        <v>0.36686000000028424</v>
      </c>
      <c r="G28" s="29">
        <v>0.8107400000007281</v>
      </c>
      <c r="H28" s="29">
        <v>1.6628E-2</v>
      </c>
      <c r="I28" s="29">
        <v>0.41948400000033687</v>
      </c>
      <c r="J28" s="29">
        <v>0.61704800000053439</v>
      </c>
      <c r="K28" s="29">
        <v>0.14578800000006317</v>
      </c>
      <c r="L28" s="29">
        <v>0.1237040000000411</v>
      </c>
      <c r="M28" s="29">
        <v>0.24665600000016405</v>
      </c>
      <c r="N28" s="29">
        <v>0.14682400000006421</v>
      </c>
      <c r="O28" s="29">
        <v>0.43628400000035367</v>
      </c>
      <c r="P28" s="29">
        <v>0.47753200000039492</v>
      </c>
      <c r="Q28" s="29">
        <v>0.69866799999999996</v>
      </c>
      <c r="R28" s="29">
        <v>6.0043999999981695E-2</v>
      </c>
      <c r="S28" s="29">
        <v>0.49808800000041548</v>
      </c>
      <c r="T28" s="29">
        <v>0.58303600000050038</v>
      </c>
      <c r="U28" s="29">
        <v>0.2891320000002065</v>
      </c>
      <c r="V28" s="29">
        <v>0.52767200000000003</v>
      </c>
      <c r="W28" s="29">
        <v>0.50497200000042231</v>
      </c>
      <c r="X28" s="29">
        <v>0.71557600000063293</v>
      </c>
      <c r="Y28" s="29">
        <v>0.33816800000025554</v>
      </c>
      <c r="Z28" s="29">
        <v>0.184616</v>
      </c>
      <c r="AA28" s="29">
        <v>0.41931200000033669</v>
      </c>
      <c r="AB28" s="29">
        <v>4.9804000000000001E-2</v>
      </c>
      <c r="AC28" s="29">
        <v>0.49242000000040981</v>
      </c>
      <c r="AD28" s="29">
        <v>0.40374000000032112</v>
      </c>
      <c r="AE28" s="29">
        <v>0.23475200000015217</v>
      </c>
    </row>
    <row r="29" spans="1:31" x14ac:dyDescent="0.35">
      <c r="A29" s="30">
        <v>45404</v>
      </c>
      <c r="B29" s="29">
        <v>0.70438400000062174</v>
      </c>
      <c r="C29" s="29">
        <v>0.51025600000042759</v>
      </c>
      <c r="D29" s="29">
        <v>0.64478000000056213</v>
      </c>
      <c r="E29" s="29">
        <v>0.27598000000019335</v>
      </c>
      <c r="F29" s="29">
        <v>0.405636</v>
      </c>
      <c r="G29" s="29">
        <v>0.80749600000072486</v>
      </c>
      <c r="H29" s="29">
        <v>1.2936E-2</v>
      </c>
      <c r="I29" s="29">
        <v>0.47115600000038854</v>
      </c>
      <c r="J29" s="29">
        <v>0.5732640000004906</v>
      </c>
      <c r="K29" s="29">
        <v>0.17550000000009289</v>
      </c>
      <c r="L29" s="29">
        <v>0.12443200000004184</v>
      </c>
      <c r="M29" s="29">
        <v>0.21236400000012975</v>
      </c>
      <c r="N29" s="29">
        <v>0.16874800000008611</v>
      </c>
      <c r="O29" s="29">
        <v>0.43548400000035287</v>
      </c>
      <c r="P29" s="29">
        <v>0.47758400000039497</v>
      </c>
      <c r="Q29" s="29">
        <v>0.73266399999999998</v>
      </c>
      <c r="R29" s="29">
        <v>4.9723999999999997E-2</v>
      </c>
      <c r="S29" s="29">
        <v>0.44728000000036466</v>
      </c>
      <c r="T29" s="29">
        <v>0.63434800000055169</v>
      </c>
      <c r="U29" s="29">
        <v>0.28594400000020331</v>
      </c>
      <c r="V29" s="29">
        <v>0.52672400000044406</v>
      </c>
      <c r="W29" s="29">
        <v>0.44812400000036551</v>
      </c>
      <c r="X29" s="29">
        <v>0.68060799999999999</v>
      </c>
      <c r="Y29" s="29">
        <v>0.37486000000029224</v>
      </c>
      <c r="Z29" s="29">
        <v>0.21042400000012779</v>
      </c>
      <c r="AA29" s="29">
        <v>0.37555200000029298</v>
      </c>
      <c r="AB29" s="29">
        <v>3.8608000000000003E-2</v>
      </c>
      <c r="AC29" s="29">
        <v>0.49059199999999997</v>
      </c>
      <c r="AD29" s="29">
        <v>0.44005600000035744</v>
      </c>
      <c r="AE29" s="29">
        <v>0.26449200000018186</v>
      </c>
    </row>
    <row r="30" spans="1:31" x14ac:dyDescent="0.35">
      <c r="A30" s="30">
        <v>45405</v>
      </c>
      <c r="B30" s="29">
        <v>0.66806800000058542</v>
      </c>
      <c r="C30" s="29">
        <v>0.46775600000038514</v>
      </c>
      <c r="D30" s="29">
        <v>0.68074400000059809</v>
      </c>
      <c r="E30" s="29">
        <v>0.24319600000016059</v>
      </c>
      <c r="F30" s="29">
        <v>0.37087600000028825</v>
      </c>
      <c r="G30" s="29">
        <v>0.83471600000075208</v>
      </c>
      <c r="H30" s="29">
        <v>1.0192000000000055E-2</v>
      </c>
      <c r="I30" s="29">
        <v>0.50859600000042593</v>
      </c>
      <c r="J30" s="29">
        <v>0.604684</v>
      </c>
      <c r="K30" s="29">
        <v>0.19725200000011464</v>
      </c>
      <c r="L30" s="29">
        <v>9.9907999999999997E-2</v>
      </c>
      <c r="M30" s="29">
        <v>0.24335600000016075</v>
      </c>
      <c r="N30" s="29">
        <v>0.14528400000006267</v>
      </c>
      <c r="O30" s="29">
        <v>0.49052800000040792</v>
      </c>
      <c r="P30" s="29">
        <v>0.43484400000035223</v>
      </c>
      <c r="Q30" s="29">
        <v>0.77265600000000001</v>
      </c>
      <c r="R30" s="29">
        <v>3.8879999999999998E-2</v>
      </c>
      <c r="S30" s="29">
        <v>0.40105600000031838</v>
      </c>
      <c r="T30" s="29">
        <v>0.57776800000049511</v>
      </c>
      <c r="U30" s="29">
        <v>0.25031600000016768</v>
      </c>
      <c r="V30" s="29">
        <v>0.57243600000048978</v>
      </c>
      <c r="W30" s="29">
        <v>0.50213600000041947</v>
      </c>
      <c r="X30" s="29">
        <v>0.6477520000005651</v>
      </c>
      <c r="Y30" s="29">
        <v>0.40654800000032393</v>
      </c>
      <c r="Z30" s="29">
        <v>0.15989200000007728</v>
      </c>
      <c r="AA30" s="29">
        <v>0.42839200000034577</v>
      </c>
      <c r="AB30" s="29">
        <v>4.5387999999999998E-2</v>
      </c>
      <c r="AC30" s="29">
        <v>0.51474400000043208</v>
      </c>
      <c r="AD30" s="29">
        <v>0.38489600000030227</v>
      </c>
      <c r="AE30" s="29">
        <v>0.29714000000021451</v>
      </c>
    </row>
    <row r="31" spans="1:31" x14ac:dyDescent="0.35">
      <c r="A31" s="30">
        <v>45406</v>
      </c>
      <c r="B31" s="29">
        <v>0.69438800000061174</v>
      </c>
      <c r="C31" s="29">
        <v>0.51872800000043606</v>
      </c>
      <c r="D31" s="29">
        <v>0.71138000000062873</v>
      </c>
      <c r="E31" s="29">
        <v>0.26607600000018344</v>
      </c>
      <c r="F31" s="29">
        <v>0.32866000000024603</v>
      </c>
      <c r="G31" s="29">
        <v>0.79471200000071207</v>
      </c>
      <c r="H31" s="29">
        <v>7.8040000000000002E-3</v>
      </c>
      <c r="I31" s="29">
        <v>0.45914800000037653</v>
      </c>
      <c r="J31" s="29">
        <v>0.63580800000055315</v>
      </c>
      <c r="K31" s="29">
        <v>0.22329600000014069</v>
      </c>
      <c r="L31" s="29">
        <v>8.7263999999999994E-2</v>
      </c>
      <c r="M31" s="29">
        <v>0.22104400000013844</v>
      </c>
      <c r="N31" s="29">
        <v>0.1235000000000409</v>
      </c>
      <c r="O31" s="29">
        <v>0.44126400000035865</v>
      </c>
      <c r="P31" s="29">
        <v>0.48692800000040432</v>
      </c>
      <c r="Q31" s="29">
        <v>0.7959360000007133</v>
      </c>
      <c r="R31" s="29">
        <v>3.0468000000002743E-2</v>
      </c>
      <c r="S31" s="29">
        <v>0.44914800000036659</v>
      </c>
      <c r="T31" s="29">
        <v>0.53101200000044835</v>
      </c>
      <c r="U31" s="29">
        <v>0.19816400000011555</v>
      </c>
      <c r="V31" s="29">
        <v>0.60069600000000001</v>
      </c>
      <c r="W31" s="29">
        <v>0.53204800000044938</v>
      </c>
      <c r="X31" s="29">
        <v>0.67578800000059314</v>
      </c>
      <c r="Y31" s="29">
        <v>0.36121600000027859</v>
      </c>
      <c r="Z31" s="29">
        <v>0.18210000000009949</v>
      </c>
      <c r="AA31" s="29">
        <v>0.37704800000029443</v>
      </c>
      <c r="AB31" s="29">
        <v>3.5288E-2</v>
      </c>
      <c r="AC31" s="29">
        <v>0.56681600000048415</v>
      </c>
      <c r="AD31" s="29">
        <v>0.41835200000033573</v>
      </c>
      <c r="AE31" s="29">
        <v>0.24592000000016331</v>
      </c>
    </row>
    <row r="32" spans="1:31" x14ac:dyDescent="0.35">
      <c r="A32" s="30">
        <v>45407</v>
      </c>
      <c r="B32" s="29">
        <v>0.69590400000061325</v>
      </c>
      <c r="C32" s="29">
        <v>0.48155600000039894</v>
      </c>
      <c r="D32" s="29">
        <v>0.67642800000059378</v>
      </c>
      <c r="E32" s="29">
        <v>0.26968800000018706</v>
      </c>
      <c r="F32" s="29">
        <v>0.29304800000021042</v>
      </c>
      <c r="G32" s="29">
        <v>0.82112000000073848</v>
      </c>
      <c r="H32" s="29">
        <v>5.8999999999999999E-3</v>
      </c>
      <c r="I32" s="29">
        <v>0.4590160000003764</v>
      </c>
      <c r="J32" s="29">
        <v>0.67401200000059136</v>
      </c>
      <c r="K32" s="29">
        <v>0.25714800000017451</v>
      </c>
      <c r="L32" s="29">
        <v>7.1711999999999998E-2</v>
      </c>
      <c r="M32" s="29">
        <v>0.22095600000013835</v>
      </c>
      <c r="N32" s="29">
        <v>0.14393600000006132</v>
      </c>
      <c r="O32" s="29">
        <v>0.48274400000040019</v>
      </c>
      <c r="P32" s="29">
        <v>0.44683200000036422</v>
      </c>
      <c r="Q32" s="29">
        <v>0.79402400000071138</v>
      </c>
      <c r="R32" s="29">
        <v>2.9944000000002677E-2</v>
      </c>
      <c r="S32" s="29">
        <v>0.4481680000003655</v>
      </c>
      <c r="T32" s="29">
        <v>0.57777600000049512</v>
      </c>
      <c r="U32" s="29">
        <v>0.17100400000008839</v>
      </c>
      <c r="V32" s="29">
        <v>0.63772400000055507</v>
      </c>
      <c r="W32" s="29">
        <v>0.48233600000039972</v>
      </c>
      <c r="X32" s="29">
        <v>0.70796400000062532</v>
      </c>
      <c r="Y32" s="29">
        <v>0.32611600000024349</v>
      </c>
      <c r="Z32" s="29">
        <v>0.18189600000009928</v>
      </c>
      <c r="AA32" s="29">
        <v>0.37491600000029229</v>
      </c>
      <c r="AB32" s="29">
        <v>4.2664000000000001E-2</v>
      </c>
      <c r="AC32" s="29">
        <v>0.60438000000052172</v>
      </c>
      <c r="AD32" s="29">
        <v>0.37901200000029639</v>
      </c>
      <c r="AE32" s="29">
        <v>0.24207600000015947</v>
      </c>
    </row>
    <row r="33" spans="1:31" x14ac:dyDescent="0.35">
      <c r="A33" s="30">
        <v>45408</v>
      </c>
      <c r="B33" s="29">
        <v>0.67989200000059724</v>
      </c>
      <c r="C33" s="29">
        <v>0.4489200000003663</v>
      </c>
      <c r="D33" s="29">
        <v>0.655644</v>
      </c>
      <c r="E33" s="29">
        <v>0.24869600000016609</v>
      </c>
      <c r="F33" s="29">
        <v>0.25872000000017609</v>
      </c>
      <c r="G33" s="29">
        <v>0.79510400000071246</v>
      </c>
      <c r="H33" s="29">
        <v>8.0599999999999995E-3</v>
      </c>
      <c r="I33" s="29">
        <v>0.41585600000033329</v>
      </c>
      <c r="J33" s="29">
        <v>0.73668800000000001</v>
      </c>
      <c r="K33" s="29">
        <v>0.30475200000022212</v>
      </c>
      <c r="L33" s="29">
        <v>7.2599999999999998E-2</v>
      </c>
      <c r="M33" s="29">
        <v>0.18994800000010736</v>
      </c>
      <c r="N33" s="29">
        <v>0.16761599999999999</v>
      </c>
      <c r="O33" s="29">
        <v>0.53459200000045193</v>
      </c>
      <c r="P33" s="29">
        <v>0.4829120000004003</v>
      </c>
      <c r="Q33" s="29">
        <v>0.81890400000073627</v>
      </c>
      <c r="R33" s="29">
        <v>2.0244000000000002E-2</v>
      </c>
      <c r="S33" s="29">
        <v>0.39449600000031187</v>
      </c>
      <c r="T33" s="29">
        <v>0.62978400000054713</v>
      </c>
      <c r="U33" s="29">
        <v>0.18703200000010439</v>
      </c>
      <c r="V33" s="29">
        <v>0.68298000000060033</v>
      </c>
      <c r="W33" s="29">
        <v>0.44422800000036161</v>
      </c>
      <c r="X33" s="29">
        <v>0.72279200000064014</v>
      </c>
      <c r="Y33" s="29">
        <v>0.27674000000019411</v>
      </c>
      <c r="Z33" s="29">
        <v>0.20317200000012056</v>
      </c>
      <c r="AA33" s="29">
        <v>0.32329200000024066</v>
      </c>
      <c r="AB33" s="29">
        <v>4.1208000000000002E-2</v>
      </c>
      <c r="AC33" s="29">
        <v>0.66210800000057946</v>
      </c>
      <c r="AD33" s="29">
        <v>0.32271200000024008</v>
      </c>
      <c r="AE33" s="29">
        <v>0.27030800000018768</v>
      </c>
    </row>
    <row r="34" spans="1:31" x14ac:dyDescent="0.35">
      <c r="A34" s="30">
        <v>45409</v>
      </c>
      <c r="B34" s="29">
        <v>0.70693200000062428</v>
      </c>
      <c r="C34" s="29">
        <v>0.51472800000043206</v>
      </c>
      <c r="D34" s="29">
        <v>0.69530000000061265</v>
      </c>
      <c r="E34" s="29">
        <v>0.20226800000011969</v>
      </c>
      <c r="F34" s="29">
        <v>0.21160000000000001</v>
      </c>
      <c r="G34" s="29">
        <v>0.81135200000072871</v>
      </c>
      <c r="H34" s="29">
        <v>9.3159999999999996E-3</v>
      </c>
      <c r="I34" s="29">
        <v>0.43526800000035265</v>
      </c>
      <c r="J34" s="29">
        <v>0.68677200000060412</v>
      </c>
      <c r="K34" s="29">
        <v>0.35083200000026821</v>
      </c>
      <c r="L34" s="29">
        <v>8.9064000000000004E-2</v>
      </c>
      <c r="M34" s="29">
        <v>0.15047200000006786</v>
      </c>
      <c r="N34" s="29">
        <v>0.13190000000004928</v>
      </c>
      <c r="O34" s="29">
        <v>0.57698000000049432</v>
      </c>
      <c r="P34" s="29">
        <v>0.4272160000003446</v>
      </c>
      <c r="Q34" s="29">
        <v>0.79833200000071569</v>
      </c>
      <c r="R34" s="29">
        <v>1.5284000000000733E-2</v>
      </c>
      <c r="S34" s="29">
        <v>0.3557200000002731</v>
      </c>
      <c r="T34" s="29">
        <v>0.68222800000059958</v>
      </c>
      <c r="U34" s="29">
        <v>0.23462400000015199</v>
      </c>
      <c r="V34" s="29">
        <v>0.6092560000005266</v>
      </c>
      <c r="W34" s="29">
        <v>0.49904800000041649</v>
      </c>
      <c r="X34" s="29">
        <v>0.66990400000058725</v>
      </c>
      <c r="Y34" s="29">
        <v>0.31761200000000001</v>
      </c>
      <c r="Z34" s="29">
        <v>0.24327200000016069</v>
      </c>
      <c r="AA34" s="29">
        <v>0.29689200000021426</v>
      </c>
      <c r="AB34" s="29">
        <v>3.2543999999999997E-2</v>
      </c>
      <c r="AC34" s="29">
        <v>0.71306000000063041</v>
      </c>
      <c r="AD34" s="29">
        <v>0.28741200000020478</v>
      </c>
      <c r="AE34" s="29">
        <v>0.24481200000016221</v>
      </c>
    </row>
    <row r="35" spans="1:31" x14ac:dyDescent="0.35">
      <c r="A35" s="30">
        <v>45410</v>
      </c>
      <c r="B35" s="29">
        <v>0.66074000000057809</v>
      </c>
      <c r="C35" s="29">
        <v>0.53914000000045648</v>
      </c>
      <c r="D35" s="29">
        <v>0.73545600000065281</v>
      </c>
      <c r="E35" s="29">
        <v>0.16729200000008468</v>
      </c>
      <c r="F35" s="29">
        <v>0.23349200000015088</v>
      </c>
      <c r="G35" s="29">
        <v>0.78262799999999999</v>
      </c>
      <c r="H35" s="29">
        <v>1.06E-2</v>
      </c>
      <c r="I35" s="29">
        <v>0.47043200000038782</v>
      </c>
      <c r="J35" s="29">
        <v>0.63846400000055581</v>
      </c>
      <c r="K35" s="29">
        <v>0.39104000000030842</v>
      </c>
      <c r="L35" s="29">
        <v>0.10616000000002355</v>
      </c>
      <c r="M35" s="29">
        <v>0.12093200000003831</v>
      </c>
      <c r="N35" s="29">
        <v>0.15287600000007026</v>
      </c>
      <c r="O35" s="29">
        <v>0.52787200000044521</v>
      </c>
      <c r="P35" s="29">
        <v>0.46287600000038026</v>
      </c>
      <c r="Q35" s="29">
        <v>0.82574400000074311</v>
      </c>
      <c r="R35" s="29">
        <v>1.2804000000000402E-2</v>
      </c>
      <c r="S35" s="29">
        <v>0.39603600000031342</v>
      </c>
      <c r="T35" s="29">
        <v>0.71832400000063568</v>
      </c>
      <c r="U35" s="29">
        <v>0.27320000000019057</v>
      </c>
      <c r="V35" s="29">
        <v>0.58364400000000005</v>
      </c>
      <c r="W35" s="29">
        <v>0.47192000000038931</v>
      </c>
      <c r="X35" s="29">
        <v>0.62000400000053735</v>
      </c>
      <c r="Y35" s="29">
        <v>0.29105600000020843</v>
      </c>
      <c r="Z35" s="29">
        <v>0.21928400000013668</v>
      </c>
      <c r="AA35" s="29">
        <v>0.33910400000025648</v>
      </c>
      <c r="AB35" s="29">
        <v>2.5932000000002144E-2</v>
      </c>
      <c r="AC35" s="29">
        <v>0.68500400000060235</v>
      </c>
      <c r="AD35" s="29">
        <v>0.25858400000017595</v>
      </c>
      <c r="AE35" s="29">
        <v>0.27936000000019673</v>
      </c>
    </row>
    <row r="36" spans="1:31" x14ac:dyDescent="0.35">
      <c r="A36" s="30">
        <v>45411</v>
      </c>
      <c r="B36" s="29">
        <v>0.69072800000060808</v>
      </c>
      <c r="C36" s="29">
        <v>0.52932800000044666</v>
      </c>
      <c r="D36" s="29">
        <v>0.69578800000061314</v>
      </c>
      <c r="E36" s="29">
        <v>0.18266800000010008</v>
      </c>
      <c r="F36" s="29">
        <v>0.2531320000001705</v>
      </c>
      <c r="G36" s="29">
        <v>0.77336800000069073</v>
      </c>
      <c r="H36" s="29">
        <v>7.4799999999999997E-3</v>
      </c>
      <c r="I36" s="29">
        <v>0.45993200000037732</v>
      </c>
      <c r="J36" s="29">
        <v>0.59651200000051385</v>
      </c>
      <c r="K36" s="29">
        <v>0.41881200000033619</v>
      </c>
      <c r="L36" s="29">
        <v>0.10035200000001776</v>
      </c>
      <c r="M36" s="29">
        <v>0.12959600000004698</v>
      </c>
      <c r="N36" s="29">
        <v>0.16317600000008056</v>
      </c>
      <c r="O36" s="29">
        <v>0.5532600000004706</v>
      </c>
      <c r="P36" s="29">
        <v>0.44586800000036331</v>
      </c>
      <c r="Q36" s="29">
        <v>0.81518800000073255</v>
      </c>
      <c r="R36" s="29">
        <v>9.5960000000000004E-3</v>
      </c>
      <c r="S36" s="29">
        <v>0.36826000000028558</v>
      </c>
      <c r="T36" s="29">
        <v>0.68364400000000003</v>
      </c>
      <c r="U36" s="29">
        <v>0.32561600000000002</v>
      </c>
      <c r="V36" s="29">
        <v>0.62669600000000003</v>
      </c>
      <c r="W36" s="29">
        <v>0.52387200000044121</v>
      </c>
      <c r="X36" s="29">
        <v>0.58980000000050714</v>
      </c>
      <c r="Y36" s="29">
        <v>0.25487200000017224</v>
      </c>
      <c r="Z36" s="29">
        <v>0.22386000000014125</v>
      </c>
      <c r="AA36" s="29">
        <v>0.30518000000022255</v>
      </c>
      <c r="AB36" s="29">
        <v>2.6604000000002234E-2</v>
      </c>
      <c r="AC36" s="29">
        <v>0.73240000000064975</v>
      </c>
      <c r="AD36" s="29">
        <v>0.22938800000014681</v>
      </c>
      <c r="AE36" s="29">
        <v>0.28502400000020239</v>
      </c>
    </row>
    <row r="37" spans="1:31" x14ac:dyDescent="0.35">
      <c r="A37" s="30">
        <v>45412</v>
      </c>
      <c r="B37" s="29">
        <v>0.71822000000063557</v>
      </c>
      <c r="C37" s="29">
        <v>0.56480800000048215</v>
      </c>
      <c r="D37" s="29">
        <v>0.65244800000056979</v>
      </c>
      <c r="E37" s="29">
        <v>0.1449120000000623</v>
      </c>
      <c r="F37" s="29">
        <v>0.2107080000001281</v>
      </c>
      <c r="G37" s="29">
        <v>0.74090400000065826</v>
      </c>
      <c r="H37" s="29">
        <v>5.5240000000000003E-3</v>
      </c>
      <c r="I37" s="29">
        <v>0.45995600000037734</v>
      </c>
      <c r="J37" s="29">
        <v>0.62710400000054445</v>
      </c>
      <c r="K37" s="29">
        <v>0.43954400000035693</v>
      </c>
      <c r="L37" s="29">
        <v>0.1073000000000247</v>
      </c>
      <c r="M37" s="29">
        <v>0.10073200000001813</v>
      </c>
      <c r="N37" s="29">
        <v>0.17712800000009452</v>
      </c>
      <c r="O37" s="29">
        <v>0.57234000000048968</v>
      </c>
      <c r="P37" s="29">
        <v>0.47837200000039576</v>
      </c>
      <c r="Q37" s="29">
        <v>0.79702800000071439</v>
      </c>
      <c r="R37" s="29">
        <v>1.2324000000000338E-2</v>
      </c>
      <c r="S37" s="29">
        <v>0.4119240000003293</v>
      </c>
      <c r="T37" s="29">
        <v>0.72271600000064007</v>
      </c>
      <c r="U37" s="29">
        <v>0.28377200000020114</v>
      </c>
      <c r="V37" s="29">
        <v>0.5988600000005162</v>
      </c>
      <c r="W37" s="29">
        <v>0.49516800000041256</v>
      </c>
      <c r="X37" s="29">
        <v>0.64614400000056349</v>
      </c>
      <c r="Y37" s="29">
        <v>0.22561600000000001</v>
      </c>
      <c r="Z37" s="29">
        <v>0.21717600000013457</v>
      </c>
      <c r="AA37" s="29">
        <v>0.34309200000026047</v>
      </c>
      <c r="AB37" s="29">
        <v>2.0976000000001487E-2</v>
      </c>
      <c r="AC37" s="29">
        <v>0.70460400000000001</v>
      </c>
      <c r="AD37" s="29">
        <v>0.26876400000018613</v>
      </c>
      <c r="AE37" s="29">
        <v>0.2518360000001692</v>
      </c>
    </row>
    <row r="38" spans="1:31" x14ac:dyDescent="0.35">
      <c r="A38" s="30">
        <v>45413</v>
      </c>
      <c r="B38" s="29">
        <v>0.67888800000059624</v>
      </c>
      <c r="C38" s="29">
        <v>0.60002400000051737</v>
      </c>
      <c r="D38" s="29">
        <v>0.68347200000060082</v>
      </c>
      <c r="E38" s="29">
        <v>0.11306000000003046</v>
      </c>
      <c r="F38" s="29">
        <v>0.17002400000008741</v>
      </c>
      <c r="G38" s="29">
        <v>0.76170800000067906</v>
      </c>
      <c r="H38" s="29">
        <v>3.656E-3</v>
      </c>
      <c r="I38" s="29">
        <v>0.49168800000040908</v>
      </c>
      <c r="J38" s="29">
        <v>0.659636</v>
      </c>
      <c r="K38" s="29">
        <v>0.47540400000039279</v>
      </c>
      <c r="L38" s="29">
        <v>9.2924000000000007E-2</v>
      </c>
      <c r="M38" s="29">
        <v>8.6068000000000006E-2</v>
      </c>
      <c r="N38" s="29">
        <v>0.21160399999999999</v>
      </c>
      <c r="O38" s="29">
        <v>0.52817600000044551</v>
      </c>
      <c r="P38" s="29">
        <v>0.44366800000036105</v>
      </c>
      <c r="Q38" s="29">
        <v>0.82358799999999999</v>
      </c>
      <c r="R38" s="29">
        <v>1.5388000000000745E-2</v>
      </c>
      <c r="S38" s="29">
        <v>0.37390800000029129</v>
      </c>
      <c r="T38" s="29">
        <v>0.75373600000067109</v>
      </c>
      <c r="U38" s="29">
        <v>0.31479200000023216</v>
      </c>
      <c r="V38" s="29">
        <v>0.63477200000055212</v>
      </c>
      <c r="W38" s="29">
        <v>0.44283200000036022</v>
      </c>
      <c r="X38" s="29">
        <v>0.69419200000061154</v>
      </c>
      <c r="Y38" s="29">
        <v>0.18872000000010611</v>
      </c>
      <c r="Z38" s="29">
        <v>0.18550000000010289</v>
      </c>
      <c r="AA38" s="29">
        <v>0.28814800000020552</v>
      </c>
      <c r="AB38" s="29">
        <v>1.5608000000000774E-2</v>
      </c>
      <c r="AC38" s="29">
        <v>0.75320000000067056</v>
      </c>
      <c r="AD38" s="29">
        <v>0.30409200000022146</v>
      </c>
      <c r="AE38" s="29">
        <v>0.21152400000012891</v>
      </c>
    </row>
    <row r="39" spans="1:31" x14ac:dyDescent="0.35">
      <c r="A39" s="30">
        <v>45414</v>
      </c>
      <c r="B39" s="29">
        <v>0.72748800000064484</v>
      </c>
      <c r="C39" s="29">
        <v>0.56590000000048324</v>
      </c>
      <c r="D39" s="29">
        <v>0.64140400000055875</v>
      </c>
      <c r="E39" s="29">
        <v>0.11516400000003256</v>
      </c>
      <c r="F39" s="29">
        <v>0.17078800000008815</v>
      </c>
      <c r="G39" s="29">
        <v>0.72083200000063818</v>
      </c>
      <c r="H39" s="29">
        <v>3.7079999999999999E-3</v>
      </c>
      <c r="I39" s="29">
        <v>0.4985160000004159</v>
      </c>
      <c r="J39" s="29">
        <v>0.66636000000058371</v>
      </c>
      <c r="K39" s="29">
        <v>0.47890400000039629</v>
      </c>
      <c r="L39" s="29">
        <v>0.1110160000000284</v>
      </c>
      <c r="M39" s="29">
        <v>8.4176000000000001E-2</v>
      </c>
      <c r="N39" s="29">
        <v>0.20647200000012383</v>
      </c>
      <c r="O39" s="29">
        <v>0.51801600000043535</v>
      </c>
      <c r="P39" s="29">
        <v>0.49125600000040864</v>
      </c>
      <c r="Q39" s="29">
        <v>0.8252400000007426</v>
      </c>
      <c r="R39" s="29">
        <v>1.8184000000001116E-2</v>
      </c>
      <c r="S39" s="29">
        <v>0.41378000000033122</v>
      </c>
      <c r="T39" s="29">
        <v>0.75341200000067077</v>
      </c>
      <c r="U39" s="29">
        <v>0.2668280000001842</v>
      </c>
      <c r="V39" s="29">
        <v>0.60208800000051943</v>
      </c>
      <c r="W39" s="29">
        <v>0.44655600000036394</v>
      </c>
      <c r="X39" s="29">
        <v>0.69540000000061275</v>
      </c>
      <c r="Y39" s="29">
        <v>0.19116400000010855</v>
      </c>
      <c r="Z39" s="29">
        <v>0.18815600000010552</v>
      </c>
      <c r="AA39" s="29">
        <v>0.28744000000020481</v>
      </c>
      <c r="AB39" s="29">
        <v>1.1852000000000276E-2</v>
      </c>
      <c r="AC39" s="29">
        <v>0.7528400000006702</v>
      </c>
      <c r="AD39" s="29">
        <v>0.30354000000022091</v>
      </c>
      <c r="AE39" s="29">
        <v>0.24352000000016091</v>
      </c>
    </row>
    <row r="40" spans="1:31" x14ac:dyDescent="0.35">
      <c r="A40" s="30">
        <v>45415</v>
      </c>
      <c r="B40" s="29">
        <v>0.76538800000068274</v>
      </c>
      <c r="C40" s="29">
        <v>0.51048800000042782</v>
      </c>
      <c r="D40" s="29">
        <v>0.6839480000006013</v>
      </c>
      <c r="E40" s="29">
        <v>0.13085600000004824</v>
      </c>
      <c r="F40" s="29">
        <v>0.1423200000000597</v>
      </c>
      <c r="G40" s="29">
        <v>0.67483200000059218</v>
      </c>
      <c r="H40" s="29">
        <v>2.7320000000000001E-3</v>
      </c>
      <c r="I40" s="29">
        <v>0.46183200000037922</v>
      </c>
      <c r="J40" s="29">
        <v>0.71323200000063058</v>
      </c>
      <c r="K40" s="29">
        <v>0.52224400000043958</v>
      </c>
      <c r="L40" s="29">
        <v>0.13215200000004954</v>
      </c>
      <c r="M40" s="29">
        <v>0.1044080000000218</v>
      </c>
      <c r="N40" s="29">
        <v>0.23909200000015648</v>
      </c>
      <c r="O40" s="29">
        <v>0.47414000000039153</v>
      </c>
      <c r="P40" s="29">
        <v>0.44233600000035972</v>
      </c>
      <c r="Q40" s="29">
        <v>0.80936800000072673</v>
      </c>
      <c r="R40" s="29">
        <v>1.4616000000000642E-2</v>
      </c>
      <c r="S40" s="29">
        <v>0.3723200000002897</v>
      </c>
      <c r="T40" s="29">
        <v>0.78776000000070512</v>
      </c>
      <c r="U40" s="29">
        <v>0.31622000000023359</v>
      </c>
      <c r="V40" s="29">
        <v>0.56688400000048422</v>
      </c>
      <c r="W40" s="29">
        <v>0.4019200000003193</v>
      </c>
      <c r="X40" s="29">
        <v>0.73929200000065665</v>
      </c>
      <c r="Y40" s="29">
        <v>0.16777600000008516</v>
      </c>
      <c r="Z40" s="29">
        <v>0.21715200000013457</v>
      </c>
      <c r="AA40" s="29">
        <v>0.24288400000016028</v>
      </c>
      <c r="AB40" s="29">
        <v>1.5144000000000712E-2</v>
      </c>
      <c r="AC40" s="29">
        <v>0.7883400000007057</v>
      </c>
      <c r="AD40" s="29">
        <v>0.34704800000026442</v>
      </c>
      <c r="AE40" s="29">
        <v>0.21327600000013067</v>
      </c>
    </row>
    <row r="41" spans="1:31" x14ac:dyDescent="0.35">
      <c r="A41" s="30">
        <v>45416</v>
      </c>
      <c r="B41" s="29">
        <v>0.78205600000069941</v>
      </c>
      <c r="C41" s="29">
        <v>0.45675600000037414</v>
      </c>
      <c r="D41" s="29">
        <v>0.70778000000062513</v>
      </c>
      <c r="E41" s="29">
        <v>0.14279600000006018</v>
      </c>
      <c r="F41" s="29">
        <v>0.15798400000007537</v>
      </c>
      <c r="G41" s="29">
        <v>0.71226400000062962</v>
      </c>
      <c r="H41" s="29">
        <v>3.0720000000000001E-3</v>
      </c>
      <c r="I41" s="29">
        <v>0.4070240000003244</v>
      </c>
      <c r="J41" s="29">
        <v>0.63308800000055043</v>
      </c>
      <c r="K41" s="29">
        <v>0.55124800000046859</v>
      </c>
      <c r="L41" s="29">
        <v>9.486E-2</v>
      </c>
      <c r="M41" s="29">
        <v>7.3903999999999997E-2</v>
      </c>
      <c r="N41" s="29">
        <v>0.29785200000021522</v>
      </c>
      <c r="O41" s="29">
        <v>0.49793200000041532</v>
      </c>
      <c r="P41" s="29">
        <v>0.48138400000039883</v>
      </c>
      <c r="Q41" s="29">
        <v>0.77420400000069156</v>
      </c>
      <c r="R41" s="29">
        <v>1.0328000000000071E-2</v>
      </c>
      <c r="S41" s="29">
        <v>0.34376800000026114</v>
      </c>
      <c r="T41" s="29">
        <v>0.83989200000075726</v>
      </c>
      <c r="U41" s="29">
        <v>0.29136400000020873</v>
      </c>
      <c r="V41" s="29">
        <v>0.61668000000000001</v>
      </c>
      <c r="W41" s="29">
        <v>0.37789200000029527</v>
      </c>
      <c r="X41" s="29">
        <v>0.7175440000006349</v>
      </c>
      <c r="Y41" s="29">
        <v>0.19740000000011479</v>
      </c>
      <c r="Z41" s="29">
        <v>0.19799200000011535</v>
      </c>
      <c r="AA41" s="29">
        <v>0.19452800000011192</v>
      </c>
      <c r="AB41" s="29">
        <v>1.2200000000000322E-2</v>
      </c>
      <c r="AC41" s="29">
        <v>0.8340360000007514</v>
      </c>
      <c r="AD41" s="29">
        <v>0.41936400000033675</v>
      </c>
      <c r="AE41" s="29">
        <v>0.1728080000000902</v>
      </c>
    </row>
    <row r="42" spans="1:31" x14ac:dyDescent="0.35">
      <c r="A42" s="30">
        <v>45417</v>
      </c>
      <c r="B42" s="29">
        <v>0.82124800000073861</v>
      </c>
      <c r="C42" s="29">
        <v>0.50760000000042493</v>
      </c>
      <c r="D42" s="29">
        <v>0.74072800000065808</v>
      </c>
      <c r="E42" s="29">
        <v>0.16097600000007836</v>
      </c>
      <c r="F42" s="29">
        <v>0.13334400000005073</v>
      </c>
      <c r="G42" s="29">
        <v>0.74680800000066416</v>
      </c>
      <c r="H42" s="29">
        <v>3.8279999999999998E-3</v>
      </c>
      <c r="I42" s="29">
        <v>0.35950400000027688</v>
      </c>
      <c r="J42" s="29">
        <v>0.59648800000051383</v>
      </c>
      <c r="K42" s="29">
        <v>0.49349200000041088</v>
      </c>
      <c r="L42" s="29">
        <v>7.9339999999999994E-2</v>
      </c>
      <c r="M42" s="29">
        <v>5.9476000000000001E-2</v>
      </c>
      <c r="N42" s="29">
        <v>0.2414080000001588</v>
      </c>
      <c r="O42" s="29">
        <v>0.53504000000045238</v>
      </c>
      <c r="P42" s="29">
        <v>0.52071999999999996</v>
      </c>
      <c r="Q42" s="29">
        <v>0.74452400000066188</v>
      </c>
      <c r="R42" s="29">
        <v>1.5796000000000001E-2</v>
      </c>
      <c r="S42" s="29">
        <v>0.31228400000022966</v>
      </c>
      <c r="T42" s="29">
        <v>0.863672</v>
      </c>
      <c r="U42" s="29">
        <v>0.33570800000025308</v>
      </c>
      <c r="V42" s="29">
        <v>0.6748480000005922</v>
      </c>
      <c r="W42" s="29">
        <v>0.32605200000024342</v>
      </c>
      <c r="X42" s="29">
        <v>0.68460399999999999</v>
      </c>
      <c r="Y42" s="29">
        <v>0.23337600000015077</v>
      </c>
      <c r="Z42" s="29">
        <v>0.17193600000008932</v>
      </c>
      <c r="AA42" s="29">
        <v>0.23779200000015521</v>
      </c>
      <c r="AB42" s="29">
        <v>9.6559999999999997E-3</v>
      </c>
      <c r="AC42" s="29">
        <v>0.86538800000078275</v>
      </c>
      <c r="AD42" s="29">
        <v>0.37095200000028833</v>
      </c>
      <c r="AE42" s="29">
        <v>0.1534120000000708</v>
      </c>
    </row>
    <row r="43" spans="1:31" x14ac:dyDescent="0.35">
      <c r="A43" s="30">
        <v>45418</v>
      </c>
      <c r="B43" s="29">
        <v>0.81626000000073362</v>
      </c>
      <c r="C43" s="29">
        <v>0.49686400000041425</v>
      </c>
      <c r="D43" s="29">
        <v>0.73502000000065237</v>
      </c>
      <c r="E43" s="29">
        <v>0.18738000000010477</v>
      </c>
      <c r="F43" s="29">
        <v>0.12843200000004582</v>
      </c>
      <c r="G43" s="29">
        <v>0.7720440000006894</v>
      </c>
      <c r="H43" s="29">
        <v>2.4520000000000002E-3</v>
      </c>
      <c r="I43" s="29">
        <v>0.31524800000023262</v>
      </c>
      <c r="J43" s="29">
        <v>0.62491200000054226</v>
      </c>
      <c r="K43" s="29">
        <v>0.52771599999999996</v>
      </c>
      <c r="L43" s="29">
        <v>7.8960000000000002E-2</v>
      </c>
      <c r="M43" s="29">
        <v>4.7924000000000001E-2</v>
      </c>
      <c r="N43" s="29">
        <v>0.20985600000012725</v>
      </c>
      <c r="O43" s="29">
        <v>0.49180400000040919</v>
      </c>
      <c r="P43" s="29">
        <v>0.56512800000048247</v>
      </c>
      <c r="Q43" s="29">
        <v>0.74223600000065959</v>
      </c>
      <c r="R43" s="29">
        <v>1.1196000000000188E-2</v>
      </c>
      <c r="S43" s="29">
        <v>0.3417240000002591</v>
      </c>
      <c r="T43" s="29">
        <v>0.88670000000080407</v>
      </c>
      <c r="U43" s="29">
        <v>0.33333200000025071</v>
      </c>
      <c r="V43" s="29">
        <v>0.63512000000055246</v>
      </c>
      <c r="W43" s="29">
        <v>0.32378800000024116</v>
      </c>
      <c r="X43" s="29">
        <v>0.65143600000056878</v>
      </c>
      <c r="Y43" s="29">
        <v>0.26668800000018406</v>
      </c>
      <c r="Z43" s="29">
        <v>0.14736400000006475</v>
      </c>
      <c r="AA43" s="29">
        <v>0.23248400000014988</v>
      </c>
      <c r="AB43" s="29">
        <v>9.3760000000000007E-3</v>
      </c>
      <c r="AC43" s="29">
        <v>0.88434800000080172</v>
      </c>
      <c r="AD43" s="29">
        <v>0.41067600000032806</v>
      </c>
      <c r="AE43" s="29">
        <v>0.12353200000004091</v>
      </c>
    </row>
    <row r="44" spans="1:31" x14ac:dyDescent="0.35">
      <c r="A44" s="30">
        <v>45419</v>
      </c>
      <c r="B44" s="29">
        <v>0.79479600000071216</v>
      </c>
      <c r="C44" s="29">
        <v>0.4612200000003786</v>
      </c>
      <c r="D44" s="29">
        <v>0.78185600000069921</v>
      </c>
      <c r="E44" s="29">
        <v>0.22625200000014364</v>
      </c>
      <c r="F44" s="29">
        <v>0.10076000000001815</v>
      </c>
      <c r="G44" s="29">
        <v>0.73879200000065615</v>
      </c>
      <c r="H44" s="29">
        <v>1.7640000000000169E-3</v>
      </c>
      <c r="I44" s="29">
        <v>0.37034000000028772</v>
      </c>
      <c r="J44" s="29">
        <v>0.59420000000051154</v>
      </c>
      <c r="K44" s="29">
        <v>0.48927600000040666</v>
      </c>
      <c r="L44" s="29">
        <v>5.9831999999981851E-2</v>
      </c>
      <c r="M44" s="29">
        <v>6.1119999999980905E-2</v>
      </c>
      <c r="N44" s="29">
        <v>0.16994400000008733</v>
      </c>
      <c r="O44" s="29">
        <v>0.53665600000045399</v>
      </c>
      <c r="P44" s="29">
        <v>0.61319200000053053</v>
      </c>
      <c r="Q44" s="29">
        <v>0.75470000000067206</v>
      </c>
      <c r="R44" s="29">
        <v>7.6159999999997566E-3</v>
      </c>
      <c r="S44" s="29">
        <v>0.36734400000028472</v>
      </c>
      <c r="T44" s="29">
        <v>0.90554800000082281</v>
      </c>
      <c r="U44" s="29">
        <v>0.36127600000027865</v>
      </c>
      <c r="V44" s="29">
        <v>0.6632560000005806</v>
      </c>
      <c r="W44" s="29">
        <v>0.27540000000019277</v>
      </c>
      <c r="X44" s="29">
        <v>0.67787200000059522</v>
      </c>
      <c r="Y44" s="29">
        <v>0.20552000000012291</v>
      </c>
      <c r="Z44" s="29">
        <v>0.11944000000003684</v>
      </c>
      <c r="AA44" s="29">
        <v>0.25616000000017353</v>
      </c>
      <c r="AB44" s="29">
        <v>6.0719999999998865E-3</v>
      </c>
      <c r="AC44" s="29">
        <v>0.90044000000081781</v>
      </c>
      <c r="AD44" s="29">
        <v>0.35726800000027464</v>
      </c>
      <c r="AE44" s="29">
        <v>0.14208800000005947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2291C2-E9DC-4E77-A53E-02D97394C9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Standings</vt:lpstr>
      <vt:lpstr>Graphs</vt:lpstr>
      <vt:lpstr>Table 0</vt:lpstr>
      <vt:lpstr>simOutput</vt:lpstr>
      <vt:lpstr>multiSimOutput</vt:lpstr>
      <vt:lpstr>FilePath</vt:lpstr>
      <vt:lpstr>simOutputPath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Cormier</dc:creator>
  <cp:lastModifiedBy>Paul Cormier</cp:lastModifiedBy>
  <dcterms:created xsi:type="dcterms:W3CDTF">2023-09-02T02:12:37Z</dcterms:created>
  <dcterms:modified xsi:type="dcterms:W3CDTF">2024-05-08T16:59:14Z</dcterms:modified>
</cp:coreProperties>
</file>